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AT kafedrasi hujjatlari 24-25\Kafedra hujjatlari 24-25\VAT fani 2024-2025\Yakuniy nazorat\"/>
    </mc:Choice>
  </mc:AlternateContent>
  <xr:revisionPtr revIDLastSave="0" documentId="13_ncr:1_{A2AF7B48-1ED1-43B4-9CD1-B00CF64F3BAE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JN+ON+YN" sheetId="1" r:id="rId1"/>
    <sheet name="JN+YN" sheetId="5" r:id="rId2"/>
    <sheet name="JN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8" roundtripDataChecksum="vLPxNp4VePPU7+RqbqTjiJ0nIhK5MXvoxGHnPUSJCd4="/>
    </ext>
  </extLst>
</workbook>
</file>

<file path=xl/calcChain.xml><?xml version="1.0" encoding="utf-8"?>
<calcChain xmlns="http://schemas.openxmlformats.org/spreadsheetml/2006/main">
  <c r="AF22" i="6" l="1"/>
  <c r="AF23" i="6"/>
  <c r="AF24" i="6"/>
  <c r="AF25" i="6"/>
  <c r="AF26" i="6"/>
  <c r="AF21" i="6"/>
  <c r="AI22" i="6"/>
  <c r="AI23" i="6"/>
  <c r="AI24" i="6"/>
  <c r="AI25" i="6"/>
  <c r="AI26" i="6"/>
  <c r="AI21" i="6"/>
  <c r="AF32" i="6"/>
  <c r="Z32" i="6"/>
  <c r="AI32" i="6" s="1"/>
  <c r="Y32" i="6"/>
  <c r="N32" i="6"/>
  <c r="M32" i="6"/>
  <c r="Z31" i="6"/>
  <c r="AI31" i="6" s="1"/>
  <c r="Y31" i="6"/>
  <c r="N31" i="6"/>
  <c r="AF31" i="6" s="1"/>
  <c r="AR31" i="6" s="1"/>
  <c r="AX31" i="6" s="1"/>
  <c r="BA31" i="6" s="1"/>
  <c r="M31" i="6"/>
  <c r="AI30" i="6"/>
  <c r="Z30" i="6"/>
  <c r="Y30" i="6"/>
  <c r="N30" i="6"/>
  <c r="AF30" i="6" s="1"/>
  <c r="AR30" i="6" s="1"/>
  <c r="AX30" i="6" s="1"/>
  <c r="BA30" i="6" s="1"/>
  <c r="M30" i="6"/>
  <c r="Z29" i="6"/>
  <c r="AI29" i="6" s="1"/>
  <c r="Y29" i="6"/>
  <c r="N29" i="6"/>
  <c r="AF29" i="6" s="1"/>
  <c r="AR29" i="6" s="1"/>
  <c r="AX29" i="6" s="1"/>
  <c r="BA29" i="6" s="1"/>
  <c r="M29" i="6"/>
  <c r="Z28" i="6"/>
  <c r="AI28" i="6" s="1"/>
  <c r="Y28" i="6"/>
  <c r="N28" i="6"/>
  <c r="M28" i="6"/>
  <c r="Z27" i="6"/>
  <c r="AI27" i="6" s="1"/>
  <c r="Y27" i="6"/>
  <c r="N27" i="6"/>
  <c r="AF27" i="6" s="1"/>
  <c r="AR27" i="6" s="1"/>
  <c r="AX27" i="6" s="1"/>
  <c r="BA27" i="6" s="1"/>
  <c r="M27" i="6"/>
  <c r="Z26" i="6"/>
  <c r="Y26" i="6"/>
  <c r="N26" i="6"/>
  <c r="M26" i="6"/>
  <c r="Z25" i="6"/>
  <c r="Y25" i="6"/>
  <c r="N25" i="6"/>
  <c r="M25" i="6"/>
  <c r="Z24" i="6"/>
  <c r="Y24" i="6"/>
  <c r="N24" i="6"/>
  <c r="M24" i="6"/>
  <c r="Z23" i="6"/>
  <c r="Y23" i="6"/>
  <c r="N23" i="6"/>
  <c r="M23" i="6"/>
  <c r="Z22" i="6"/>
  <c r="Y22" i="6"/>
  <c r="N22" i="6"/>
  <c r="M22" i="6"/>
  <c r="Z21" i="6"/>
  <c r="Y21" i="6"/>
  <c r="N21" i="6"/>
  <c r="M21" i="6"/>
  <c r="Y19" i="6"/>
  <c r="M19" i="6"/>
  <c r="BB15" i="6"/>
  <c r="BA15" i="6"/>
  <c r="BB14" i="6"/>
  <c r="BA14" i="6"/>
  <c r="BB13" i="6"/>
  <c r="BA13" i="6"/>
  <c r="BB12" i="6"/>
  <c r="BA12" i="6"/>
  <c r="BB11" i="6"/>
  <c r="BA11" i="6"/>
  <c r="AF28" i="6" s="1"/>
  <c r="BB10" i="6"/>
  <c r="BA10" i="6"/>
  <c r="BB9" i="6"/>
  <c r="BA9" i="6"/>
  <c r="BB8" i="6"/>
  <c r="BA8" i="6"/>
  <c r="BB7" i="6"/>
  <c r="BA7" i="6"/>
  <c r="BB6" i="6"/>
  <c r="BA6" i="6"/>
  <c r="BB5" i="6"/>
  <c r="BA5" i="6"/>
  <c r="BB4" i="6"/>
  <c r="BA4" i="6"/>
  <c r="BB2" i="6"/>
  <c r="AX21" i="5"/>
  <c r="AR26" i="6" l="1"/>
  <c r="AX26" i="6" s="1"/>
  <c r="BA26" i="6" s="1"/>
  <c r="AR23" i="6"/>
  <c r="AX23" i="6" s="1"/>
  <c r="AR25" i="6"/>
  <c r="AX25" i="6" s="1"/>
  <c r="AR28" i="6"/>
  <c r="AX28" i="6" s="1"/>
  <c r="BA28" i="6" s="1"/>
  <c r="AR22" i="6"/>
  <c r="AX22" i="6" s="1"/>
  <c r="BA22" i="6" s="1"/>
  <c r="AR32" i="6"/>
  <c r="AX32" i="6" s="1"/>
  <c r="BA32" i="6" s="1"/>
  <c r="AR21" i="6"/>
  <c r="AX21" i="6" s="1"/>
  <c r="BA21" i="6" s="1"/>
  <c r="AR24" i="6"/>
  <c r="AX24" i="6" s="1"/>
  <c r="Z32" i="5"/>
  <c r="Y32" i="5"/>
  <c r="N32" i="5"/>
  <c r="M32" i="5"/>
  <c r="Z31" i="5"/>
  <c r="Y31" i="5"/>
  <c r="N31" i="5"/>
  <c r="M31" i="5"/>
  <c r="Z30" i="5"/>
  <c r="Y30" i="5"/>
  <c r="N30" i="5"/>
  <c r="M30" i="5"/>
  <c r="Z29" i="5"/>
  <c r="Y29" i="5"/>
  <c r="N29" i="5"/>
  <c r="M29" i="5"/>
  <c r="Z28" i="5"/>
  <c r="Y28" i="5"/>
  <c r="N28" i="5"/>
  <c r="M28" i="5"/>
  <c r="Z27" i="5"/>
  <c r="Y27" i="5"/>
  <c r="N27" i="5"/>
  <c r="M27" i="5"/>
  <c r="Z26" i="5"/>
  <c r="Y26" i="5"/>
  <c r="N26" i="5"/>
  <c r="M26" i="5"/>
  <c r="Z25" i="5"/>
  <c r="Y25" i="5"/>
  <c r="N25" i="5"/>
  <c r="M25" i="5"/>
  <c r="Z24" i="5"/>
  <c r="Y24" i="5"/>
  <c r="N24" i="5"/>
  <c r="M24" i="5"/>
  <c r="Z23" i="5"/>
  <c r="Y23" i="5"/>
  <c r="N23" i="5"/>
  <c r="M23" i="5"/>
  <c r="Z22" i="5"/>
  <c r="Y22" i="5"/>
  <c r="N22" i="5"/>
  <c r="M22" i="5"/>
  <c r="Z21" i="5"/>
  <c r="Y21" i="5"/>
  <c r="N21" i="5"/>
  <c r="M21" i="5"/>
  <c r="Y19" i="5"/>
  <c r="M19" i="5"/>
  <c r="BB15" i="5"/>
  <c r="BA15" i="5"/>
  <c r="BB14" i="5"/>
  <c r="BA14" i="5"/>
  <c r="BB13" i="5"/>
  <c r="BA13" i="5"/>
  <c r="BB12" i="5"/>
  <c r="BA12" i="5"/>
  <c r="BB11" i="5"/>
  <c r="BA11" i="5"/>
  <c r="BB10" i="5"/>
  <c r="BA10" i="5"/>
  <c r="BB9" i="5"/>
  <c r="BA9" i="5"/>
  <c r="BB8" i="5"/>
  <c r="BA8" i="5"/>
  <c r="BB7" i="5"/>
  <c r="BA7" i="5"/>
  <c r="BB6" i="5"/>
  <c r="BA6" i="5"/>
  <c r="BB5" i="5"/>
  <c r="BA5" i="5"/>
  <c r="BB4" i="5"/>
  <c r="BA4" i="5"/>
  <c r="BB2" i="5"/>
  <c r="BA23" i="6" l="1"/>
  <c r="BA24" i="6"/>
  <c r="BA25" i="6"/>
  <c r="AI21" i="5"/>
  <c r="AI29" i="5"/>
  <c r="AI30" i="5"/>
  <c r="AI32" i="5"/>
  <c r="AR32" i="5" s="1"/>
  <c r="AX32" i="5" s="1"/>
  <c r="BA32" i="5" s="1"/>
  <c r="AF23" i="5"/>
  <c r="AF27" i="5"/>
  <c r="AI23" i="5"/>
  <c r="AI27" i="5"/>
  <c r="AI31" i="5"/>
  <c r="AF24" i="5"/>
  <c r="AF28" i="5"/>
  <c r="AF32" i="5"/>
  <c r="AI24" i="5"/>
  <c r="AI28" i="5"/>
  <c r="AF21" i="5"/>
  <c r="AF25" i="5"/>
  <c r="AF29" i="5"/>
  <c r="AI25" i="5"/>
  <c r="AF22" i="5"/>
  <c r="AF26" i="5"/>
  <c r="AF30" i="5"/>
  <c r="AR30" i="5" s="1"/>
  <c r="AX30" i="5" s="1"/>
  <c r="BA30" i="5" s="1"/>
  <c r="AF31" i="5"/>
  <c r="AI22" i="5"/>
  <c r="AI26" i="5"/>
  <c r="AR28" i="5"/>
  <c r="AX28" i="5" s="1"/>
  <c r="BA28" i="5" s="1"/>
  <c r="Z32" i="1"/>
  <c r="Y32" i="1"/>
  <c r="N32" i="1"/>
  <c r="M32" i="1"/>
  <c r="Z31" i="1"/>
  <c r="Y31" i="1"/>
  <c r="N31" i="1"/>
  <c r="M31" i="1"/>
  <c r="Z30" i="1"/>
  <c r="AI30" i="1" s="1"/>
  <c r="Y30" i="1"/>
  <c r="N30" i="1"/>
  <c r="AF30" i="1" s="1"/>
  <c r="M30" i="1"/>
  <c r="Z29" i="1"/>
  <c r="AI29" i="1" s="1"/>
  <c r="Y29" i="1"/>
  <c r="N29" i="1"/>
  <c r="M29" i="1"/>
  <c r="Z28" i="1"/>
  <c r="Y28" i="1"/>
  <c r="N28" i="1"/>
  <c r="M28" i="1"/>
  <c r="Z27" i="1"/>
  <c r="Y27" i="1"/>
  <c r="N27" i="1"/>
  <c r="M27" i="1"/>
  <c r="Z26" i="1"/>
  <c r="AI26" i="1" s="1"/>
  <c r="Y26" i="1"/>
  <c r="N26" i="1"/>
  <c r="M26" i="1"/>
  <c r="Z25" i="1"/>
  <c r="AI25" i="1" s="1"/>
  <c r="Y25" i="1"/>
  <c r="N25" i="1"/>
  <c r="M25" i="1"/>
  <c r="Z24" i="1"/>
  <c r="Y24" i="1"/>
  <c r="N24" i="1"/>
  <c r="M24" i="1"/>
  <c r="Z23" i="1"/>
  <c r="AI23" i="1" s="1"/>
  <c r="Y23" i="1"/>
  <c r="N23" i="1"/>
  <c r="M23" i="1"/>
  <c r="Z22" i="1"/>
  <c r="AI22" i="1" s="1"/>
  <c r="Y22" i="1"/>
  <c r="N22" i="1"/>
  <c r="AF22" i="1" s="1"/>
  <c r="AL22" i="1" s="1"/>
  <c r="AR22" i="1" s="1"/>
  <c r="AX22" i="1" s="1"/>
  <c r="BA22" i="1" s="1"/>
  <c r="M22" i="1"/>
  <c r="Z21" i="1"/>
  <c r="AI21" i="1" s="1"/>
  <c r="Y21" i="1"/>
  <c r="N21" i="1"/>
  <c r="M21" i="1"/>
  <c r="Y19" i="1"/>
  <c r="M19" i="1"/>
  <c r="BB15" i="1"/>
  <c r="BA15" i="1"/>
  <c r="BB14" i="1"/>
  <c r="BA14" i="1"/>
  <c r="BB13" i="1"/>
  <c r="BA13" i="1"/>
  <c r="BB12" i="1"/>
  <c r="BA12" i="1"/>
  <c r="BB11" i="1"/>
  <c r="BA11" i="1"/>
  <c r="BB10" i="1"/>
  <c r="BA10" i="1"/>
  <c r="BB9" i="1"/>
  <c r="BA9" i="1"/>
  <c r="BB8" i="1"/>
  <c r="BA8" i="1"/>
  <c r="BB7" i="1"/>
  <c r="BA7" i="1"/>
  <c r="BB6" i="1"/>
  <c r="BA6" i="1"/>
  <c r="BB5" i="1"/>
  <c r="BA5" i="1"/>
  <c r="BB4" i="1"/>
  <c r="BA4" i="1"/>
  <c r="BB2" i="1"/>
  <c r="AR21" i="5" l="1"/>
  <c r="BA21" i="5" s="1"/>
  <c r="AR29" i="5"/>
  <c r="AX29" i="5" s="1"/>
  <c r="BA29" i="5" s="1"/>
  <c r="AR31" i="5"/>
  <c r="AX31" i="5" s="1"/>
  <c r="BA31" i="5" s="1"/>
  <c r="AR27" i="5"/>
  <c r="AX27" i="5" s="1"/>
  <c r="BA27" i="5" s="1"/>
  <c r="AR23" i="5"/>
  <c r="AX23" i="5" s="1"/>
  <c r="BA23" i="5" s="1"/>
  <c r="AR26" i="5"/>
  <c r="AX26" i="5" s="1"/>
  <c r="AR25" i="5"/>
  <c r="AX25" i="5" s="1"/>
  <c r="AR24" i="5"/>
  <c r="AX24" i="5" s="1"/>
  <c r="BA24" i="5" s="1"/>
  <c r="AR22" i="5"/>
  <c r="AX22" i="5" s="1"/>
  <c r="AF25" i="1"/>
  <c r="AL25" i="1" s="1"/>
  <c r="AR25" i="1" s="1"/>
  <c r="AX25" i="1" s="1"/>
  <c r="BA25" i="1" s="1"/>
  <c r="AF29" i="1"/>
  <c r="AL29" i="1" s="1"/>
  <c r="AR29" i="1" s="1"/>
  <c r="AX29" i="1" s="1"/>
  <c r="BA29" i="1" s="1"/>
  <c r="AF23" i="1"/>
  <c r="AL23" i="1" s="1"/>
  <c r="AR23" i="1" s="1"/>
  <c r="AX23" i="1" s="1"/>
  <c r="BA23" i="1" s="1"/>
  <c r="AF27" i="1"/>
  <c r="AL27" i="1" s="1"/>
  <c r="AR27" i="1" s="1"/>
  <c r="AX27" i="1" s="1"/>
  <c r="BA27" i="1" s="1"/>
  <c r="AF31" i="1"/>
  <c r="AL31" i="1" s="1"/>
  <c r="AR31" i="1" s="1"/>
  <c r="AX31" i="1" s="1"/>
  <c r="BA31" i="1" s="1"/>
  <c r="AI27" i="1"/>
  <c r="AI31" i="1"/>
  <c r="AF26" i="1"/>
  <c r="AL26" i="1" s="1"/>
  <c r="AR26" i="1" s="1"/>
  <c r="AX26" i="1" s="1"/>
  <c r="BA26" i="1" s="1"/>
  <c r="AF24" i="1"/>
  <c r="AL24" i="1" s="1"/>
  <c r="AR24" i="1" s="1"/>
  <c r="AX24" i="1" s="1"/>
  <c r="BA24" i="1" s="1"/>
  <c r="AF28" i="1"/>
  <c r="AL28" i="1" s="1"/>
  <c r="AR28" i="1" s="1"/>
  <c r="AX28" i="1" s="1"/>
  <c r="BA28" i="1" s="1"/>
  <c r="AF32" i="1"/>
  <c r="AL32" i="1" s="1"/>
  <c r="AR32" i="1" s="1"/>
  <c r="AX32" i="1" s="1"/>
  <c r="BA32" i="1" s="1"/>
  <c r="AI24" i="1"/>
  <c r="AI28" i="1"/>
  <c r="AI32" i="1"/>
  <c r="AF21" i="1"/>
  <c r="AL21" i="1" s="1"/>
  <c r="AR21" i="1" s="1"/>
  <c r="AX21" i="1" s="1"/>
  <c r="BA21" i="1" s="1"/>
  <c r="AL30" i="1"/>
  <c r="AR30" i="1" s="1"/>
  <c r="AX30" i="1" s="1"/>
  <c r="BA30" i="1" s="1"/>
  <c r="BA26" i="5" l="1"/>
  <c r="BA25" i="5"/>
  <c r="BA22" i="5"/>
</calcChain>
</file>

<file path=xl/sharedStrings.xml><?xml version="1.0" encoding="utf-8"?>
<sst xmlns="http://schemas.openxmlformats.org/spreadsheetml/2006/main" count="317" uniqueCount="110">
  <si>
    <t>Amaliy mashg'ulot</t>
  </si>
  <si>
    <t>t/r</t>
  </si>
  <si>
    <t>FIO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</si>
  <si>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</si>
  <si>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</si>
  <si>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</si>
  <si>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</si>
  <si>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</si>
  <si>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</si>
  <si>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</si>
  <si>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</si>
  <si>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</si>
  <si>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</si>
  <si>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</si>
  <si>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</si>
  <si>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</si>
  <si>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</si>
  <si>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</si>
  <si>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</si>
  <si>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</si>
  <si>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</si>
  <si>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</si>
  <si>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</si>
  <si>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</si>
  <si>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</si>
  <si>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</si>
  <si>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</si>
  <si>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</si>
  <si>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</si>
  <si>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</si>
  <si>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</si>
  <si>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</si>
  <si>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</si>
  <si>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</si>
  <si>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</si>
  <si>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</si>
  <si>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</si>
  <si>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</si>
  <si>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</si>
  <si>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</si>
  <si>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</si>
  <si>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</si>
  <si>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</si>
  <si>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</si>
  <si>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</si>
  <si>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</si>
  <si>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</si>
  <si>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</si>
  <si>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</si>
  <si>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</si>
  <si>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</si>
  <si>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</si>
  <si>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</si>
  <si>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Umumiy soni</t>
  </si>
  <si>
    <t>Umumiy bali</t>
  </si>
  <si>
    <t>Aliqobilov M.</t>
  </si>
  <si>
    <t>Iskandarov J.</t>
  </si>
  <si>
    <t>Nazarov F.</t>
  </si>
  <si>
    <t>Mansurov E.</t>
  </si>
  <si>
    <t>Mahmadshoyev Sh.</t>
  </si>
  <si>
    <t>Haydaraliyev D.</t>
  </si>
  <si>
    <t>Xalilov N.</t>
  </si>
  <si>
    <t>Rustambekov D.</t>
  </si>
  <si>
    <t>Rustamov A.</t>
  </si>
  <si>
    <t>Sotvoldiyev F.</t>
  </si>
  <si>
    <t>Usmonov A.</t>
  </si>
  <si>
    <t>Shakarboyev Sh.</t>
  </si>
  <si>
    <t>Ma'ruza mashg'uloti</t>
  </si>
  <si>
    <t>Mustaqil ta'lim mashg'uloti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</si>
  <si>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</si>
  <si>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</si>
  <si>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</si>
  <si>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</si>
  <si>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</si>
  <si>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</si>
  <si>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</si>
  <si>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</si>
  <si>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</si>
  <si>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</si>
  <si>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</si>
  <si>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</si>
  <si>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</si>
  <si>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</si>
  <si>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</si>
  <si>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</si>
  <si>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</si>
  <si>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</si>
  <si>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</si>
  <si>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</si>
  <si>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Mashg'ulot umumiy bali             (30 ball)</t>
  </si>
  <si>
    <t>Mustaqil ish  ta'lim (10 ball)</t>
  </si>
  <si>
    <t>Joriy nazorat     (40 ball)</t>
  </si>
  <si>
    <t>Oraliq nazorat ishi             (20 ball)</t>
  </si>
  <si>
    <t>JN+ON      (60 ball)</t>
  </si>
  <si>
    <t>Yakuniy nazorat     (40 ball)</t>
  </si>
  <si>
    <t>Umumiy ball          (100 ball)</t>
  </si>
  <si>
    <t>Baho</t>
  </si>
  <si>
    <t>Mashg'ulot umumiy bali             (40 ball)</t>
  </si>
  <si>
    <t>Mustaqil ish  ta'lim (20 ball)</t>
  </si>
  <si>
    <t>Joriy nazorat     (60 ball)</t>
  </si>
  <si>
    <t>Quvvatullayev Og‘abek</t>
  </si>
  <si>
    <t>Qo‘chqarov Hamdambek</t>
  </si>
  <si>
    <t>Otajonov Sardor</t>
  </si>
  <si>
    <t>Ibroximov Valijon</t>
  </si>
  <si>
    <t>Baxtiyorov Mehroj</t>
  </si>
  <si>
    <t>Temirov Farhod</t>
  </si>
  <si>
    <t>Mustaqil ish  ta'lim (40 ball)</t>
  </si>
  <si>
    <t>Mashg'ulot umumiy bali             (60 ball)</t>
  </si>
  <si>
    <t>Joriy nazorat     (100 ball)</t>
  </si>
  <si>
    <t>Yakuniy nazorat     (- ball)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</si>
</sst>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Times New Roman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Times New Roman"/>
    </font>
    <font>
      <b/>
      <sz val="11"/>
      <color theme="0"/>
      <name val="Calibri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7030A0"/>
        <bgColor rgb="FF7030A0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3" fillId="3" borderId="6" xfId="0" applyFont="1" applyFill="1" applyBorder="1" applyAlignment="1">
      <alignment horizontal="center" textRotation="90" wrapText="1"/>
    </xf>
    <xf numFmtId="0" fontId="3" fillId="3" borderId="7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vertical="center" textRotation="90" wrapText="1"/>
    </xf>
    <xf numFmtId="0" fontId="5" fillId="4" borderId="7" xfId="0" applyFont="1" applyFill="1" applyBorder="1" applyAlignment="1">
      <alignment textRotation="90" wrapText="1"/>
    </xf>
    <xf numFmtId="0" fontId="6" fillId="5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4" xfId="0" applyFont="1" applyBorder="1" applyAlignment="1">
      <alignment horizontal="center" vertical="center"/>
    </xf>
    <xf numFmtId="0" fontId="5" fillId="4" borderId="8" xfId="0" applyFont="1" applyFill="1" applyBorder="1" applyAlignment="1">
      <alignment textRotation="90"/>
    </xf>
    <xf numFmtId="0" fontId="5" fillId="4" borderId="7" xfId="0" applyFont="1" applyFill="1" applyBorder="1" applyAlignment="1">
      <alignment textRotation="90"/>
    </xf>
    <xf numFmtId="0" fontId="6" fillId="5" borderId="9" xfId="0" applyFont="1" applyFill="1" applyBorder="1" applyAlignment="1">
      <alignment wrapText="1"/>
    </xf>
    <xf numFmtId="2" fontId="0" fillId="0" borderId="0" xfId="0" applyNumberFormat="1" applyFont="1" applyAlignment="1"/>
    <xf numFmtId="0" fontId="0" fillId="11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/>
    <xf numFmtId="0" fontId="0" fillId="0" borderId="0" xfId="0" applyFont="1" applyFill="1" applyAlignment="1"/>
    <xf numFmtId="1" fontId="1" fillId="0" borderId="1" xfId="0" applyNumberFormat="1" applyFont="1" applyBorder="1" applyAlignment="1">
      <alignment horizontal="center"/>
    </xf>
    <xf numFmtId="1" fontId="2" fillId="0" borderId="2" xfId="0" applyNumberFormat="1" applyFont="1" applyBorder="1"/>
    <xf numFmtId="1" fontId="2" fillId="0" borderId="3" xfId="0" applyNumberFormat="1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4" borderId="4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/>
    <xf numFmtId="0" fontId="2" fillId="0" borderId="3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/>
    <xf numFmtId="1" fontId="2" fillId="0" borderId="3" xfId="0" applyNumberFormat="1" applyFont="1" applyFill="1" applyBorder="1"/>
    <xf numFmtId="0" fontId="1" fillId="0" borderId="1" xfId="0" applyFont="1" applyFill="1" applyBorder="1" applyAlignment="1">
      <alignment horizontal="center"/>
    </xf>
  </cellXfs>
  <cellStyles count="1">
    <cellStyle name="Обычный" xfId="0" builtinId="0"/>
  </cellStyles>
  <dxfs count="42"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00CC66"/>
        </patternFill>
      </fill>
    </dxf>
    <dxf>
      <fill>
        <patternFill>
          <bgColor rgb="FF0099FF"/>
        </patternFill>
      </fill>
    </dxf>
    <dxf>
      <fill>
        <patternFill>
          <bgColor rgb="FFFFFF66"/>
        </patternFill>
      </fill>
    </dxf>
    <dxf>
      <fill>
        <patternFill>
          <bgColor rgb="FFF77D7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mruColors>
      <color rgb="FF00CC66"/>
      <color rgb="FF0099FF"/>
      <color rgb="FFFFFF66"/>
      <color rgb="FFF7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212912</xdr:colOff>
      <xdr:row>33</xdr:row>
      <xdr:rowOff>134472</xdr:rowOff>
    </xdr:from>
    <xdr:to>
      <xdr:col>54</xdr:col>
      <xdr:colOff>145677</xdr:colOff>
      <xdr:row>36</xdr:row>
      <xdr:rowOff>89648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103A4EF5-FCCE-4CBC-BBD7-6514E295B22E}"/>
            </a:ext>
          </a:extLst>
        </xdr:cNvPr>
        <xdr:cNvSpPr/>
      </xdr:nvSpPr>
      <xdr:spPr>
        <a:xfrm>
          <a:off x="12348883" y="7552766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</a:t>
          </a:r>
          <a:r>
            <a:rPr lang="en-US" sz="1100" baseline="0">
              <a:solidFill>
                <a:schemeClr val="tx1"/>
              </a:solidFill>
            </a:rPr>
            <a:t> va DI kafedrasi boshlig'i      kapitan B.K.Yusupov</a:t>
          </a: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B2FC061-41F2-4A7B-8BB6-CFFEAB7B7AA1}"/>
            </a:ext>
          </a:extLst>
        </xdr:cNvPr>
        <xdr:cNvSpPr/>
      </xdr:nvSpPr>
      <xdr:spPr>
        <a:xfrm>
          <a:off x="12539383" y="7888941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A9696B8-ECF9-4E3C-AEBC-DAC420937C41}"/>
            </a:ext>
          </a:extLst>
        </xdr:cNvPr>
        <xdr:cNvSpPr/>
      </xdr:nvSpPr>
      <xdr:spPr>
        <a:xfrm>
          <a:off x="12947277" y="7909672"/>
          <a:ext cx="2321299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zoomScale="85" zoomScaleNormal="85" workbookViewId="0">
      <selection activeCell="AX38" sqref="AX38"/>
    </sheetView>
  </sheetViews>
  <sheetFormatPr defaultColWidth="14.42578125" defaultRowHeight="15" customHeight="1" x14ac:dyDescent="0.25"/>
  <cols>
    <col min="1" max="1" width="3.140625" customWidth="1"/>
    <col min="2" max="2" width="23.28515625" customWidth="1"/>
    <col min="3" max="24" width="3.5703125" customWidth="1"/>
    <col min="25" max="25" width="3.42578125" customWidth="1"/>
    <col min="26" max="26" width="3.85546875" customWidth="1"/>
    <col min="27" max="52" width="3.5703125" customWidth="1"/>
    <col min="53" max="53" width="8.28515625" customWidth="1"/>
    <col min="54" max="54" width="6.28515625" customWidth="1"/>
    <col min="55" max="55" width="4.7109375" customWidth="1"/>
  </cols>
  <sheetData>
    <row r="1" spans="1:54" ht="14.25" customHeight="1" x14ac:dyDescent="0.25">
      <c r="A1" s="3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8"/>
    </row>
    <row r="2" spans="1:54" ht="14.25" customHeight="1" x14ac:dyDescent="0.25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69.75" customHeight="1" x14ac:dyDescent="0.25">
      <c r="A3" s="30"/>
      <c r="B3" s="30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6" t="s">
        <v>54</v>
      </c>
    </row>
    <row r="4" spans="1:54" ht="14.25" customHeight="1" x14ac:dyDescent="0.25">
      <c r="A4" s="7">
        <v>1</v>
      </c>
      <c r="B4" s="7" t="s">
        <v>55</v>
      </c>
      <c r="C4" s="8"/>
      <c r="D4" s="8"/>
      <c r="E4" s="8"/>
      <c r="F4" s="8"/>
      <c r="G4" s="9"/>
      <c r="H4" s="9"/>
      <c r="I4" s="9"/>
      <c r="J4" s="8"/>
      <c r="K4" s="8"/>
      <c r="L4" s="8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0">
        <f t="shared" ref="BA4:BA15" si="0">COUNTIF(C4:AZ4,"&gt;0")</f>
        <v>0</v>
      </c>
      <c r="BB4" s="12">
        <f t="shared" ref="BB4:BB15" si="1">SUM(C4:AZ4)</f>
        <v>0</v>
      </c>
    </row>
    <row r="5" spans="1:54" ht="14.25" customHeight="1" x14ac:dyDescent="0.25">
      <c r="A5" s="7">
        <v>2</v>
      </c>
      <c r="B5" s="7" t="s">
        <v>56</v>
      </c>
      <c r="C5" s="8"/>
      <c r="D5" s="8"/>
      <c r="E5" s="8"/>
      <c r="F5" s="9"/>
      <c r="G5" s="9"/>
      <c r="H5" s="9"/>
      <c r="I5" s="9"/>
      <c r="J5" s="9"/>
      <c r="K5" s="9"/>
      <c r="L5" s="9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0">
        <f t="shared" si="0"/>
        <v>0</v>
      </c>
      <c r="BB5" s="12">
        <f t="shared" si="1"/>
        <v>0</v>
      </c>
    </row>
    <row r="6" spans="1:54" ht="14.25" customHeight="1" x14ac:dyDescent="0.25">
      <c r="A6" s="7">
        <v>3</v>
      </c>
      <c r="B6" s="7" t="s">
        <v>57</v>
      </c>
      <c r="C6" s="8"/>
      <c r="D6" s="8"/>
      <c r="E6" s="8"/>
      <c r="F6" s="8"/>
      <c r="G6" s="8"/>
      <c r="H6" s="8"/>
      <c r="I6" s="8"/>
      <c r="J6" s="8"/>
      <c r="K6" s="8"/>
      <c r="L6" s="8"/>
      <c r="M6" s="11"/>
      <c r="N6" s="11"/>
      <c r="O6" s="11"/>
      <c r="P6" s="11"/>
      <c r="Q6" s="11"/>
      <c r="R6" s="10"/>
      <c r="S6" s="10"/>
      <c r="T6" s="10"/>
      <c r="U6" s="10"/>
      <c r="V6" s="10"/>
      <c r="W6" s="10"/>
      <c r="X6" s="10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0">
        <f t="shared" si="0"/>
        <v>0</v>
      </c>
      <c r="BB6" s="12">
        <f t="shared" si="1"/>
        <v>0</v>
      </c>
    </row>
    <row r="7" spans="1:54" ht="14.25" customHeight="1" x14ac:dyDescent="0.25">
      <c r="A7" s="7">
        <v>4</v>
      </c>
      <c r="B7" s="7" t="s">
        <v>58</v>
      </c>
      <c r="C7" s="8"/>
      <c r="D7" s="8"/>
      <c r="E7" s="8"/>
      <c r="F7" s="8"/>
      <c r="G7" s="8"/>
      <c r="H7" s="8"/>
      <c r="I7" s="8"/>
      <c r="J7" s="8"/>
      <c r="K7" s="8"/>
      <c r="L7" s="9"/>
      <c r="M7" s="11"/>
      <c r="N7" s="11"/>
      <c r="O7" s="10"/>
      <c r="P7" s="11"/>
      <c r="Q7" s="11"/>
      <c r="R7" s="11"/>
      <c r="S7" s="11"/>
      <c r="T7" s="11"/>
      <c r="U7" s="10"/>
      <c r="V7" s="10"/>
      <c r="W7" s="10"/>
      <c r="X7" s="10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0">
        <f t="shared" si="0"/>
        <v>0</v>
      </c>
      <c r="BB7" s="12">
        <f t="shared" si="1"/>
        <v>0</v>
      </c>
    </row>
    <row r="8" spans="1:54" ht="14.25" customHeight="1" x14ac:dyDescent="0.25">
      <c r="A8" s="7">
        <v>5</v>
      </c>
      <c r="B8" s="7" t="s">
        <v>59</v>
      </c>
      <c r="C8" s="8"/>
      <c r="D8" s="8"/>
      <c r="E8" s="8"/>
      <c r="F8" s="8"/>
      <c r="G8" s="8"/>
      <c r="H8" s="8"/>
      <c r="I8" s="8"/>
      <c r="J8" s="8"/>
      <c r="K8" s="8"/>
      <c r="L8" s="9"/>
      <c r="M8" s="11"/>
      <c r="N8" s="11"/>
      <c r="O8" s="10"/>
      <c r="P8" s="11"/>
      <c r="Q8" s="10"/>
      <c r="R8" s="10"/>
      <c r="S8" s="10"/>
      <c r="T8" s="10"/>
      <c r="U8" s="10"/>
      <c r="V8" s="10"/>
      <c r="W8" s="10"/>
      <c r="X8" s="10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0">
        <f t="shared" si="0"/>
        <v>0</v>
      </c>
      <c r="BB8" s="12">
        <f t="shared" si="1"/>
        <v>0</v>
      </c>
    </row>
    <row r="9" spans="1:54" ht="14.25" customHeight="1" x14ac:dyDescent="0.25">
      <c r="A9" s="7">
        <v>6</v>
      </c>
      <c r="B9" s="7" t="s">
        <v>60</v>
      </c>
      <c r="C9" s="8"/>
      <c r="D9" s="8"/>
      <c r="E9" s="8"/>
      <c r="F9" s="8"/>
      <c r="G9" s="8"/>
      <c r="H9" s="9"/>
      <c r="I9" s="8"/>
      <c r="J9" s="8"/>
      <c r="K9" s="8"/>
      <c r="L9" s="8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0">
        <f t="shared" si="0"/>
        <v>0</v>
      </c>
      <c r="BB9" s="12">
        <f t="shared" si="1"/>
        <v>0</v>
      </c>
    </row>
    <row r="10" spans="1:54" ht="14.25" customHeight="1" x14ac:dyDescent="0.25">
      <c r="A10" s="7">
        <v>7</v>
      </c>
      <c r="B10" s="7" t="s">
        <v>61</v>
      </c>
      <c r="C10" s="8"/>
      <c r="D10" s="8"/>
      <c r="E10" s="8"/>
      <c r="F10" s="8"/>
      <c r="G10" s="8"/>
      <c r="H10" s="8"/>
      <c r="I10" s="9"/>
      <c r="J10" s="9"/>
      <c r="K10" s="9"/>
      <c r="L10" s="9"/>
      <c r="M10" s="11"/>
      <c r="N10" s="11"/>
      <c r="O10" s="11"/>
      <c r="P10" s="11"/>
      <c r="Q10" s="10"/>
      <c r="R10" s="10"/>
      <c r="S10" s="10"/>
      <c r="T10" s="10"/>
      <c r="U10" s="10"/>
      <c r="V10" s="10"/>
      <c r="W10" s="10"/>
      <c r="X10" s="10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0">
        <f t="shared" si="0"/>
        <v>0</v>
      </c>
      <c r="BB10" s="12">
        <f t="shared" si="1"/>
        <v>0</v>
      </c>
    </row>
    <row r="11" spans="1:54" ht="14.25" customHeight="1" x14ac:dyDescent="0.25">
      <c r="A11" s="7">
        <v>8</v>
      </c>
      <c r="B11" s="7" t="s">
        <v>62</v>
      </c>
      <c r="C11" s="8"/>
      <c r="D11" s="9"/>
      <c r="E11" s="8"/>
      <c r="F11" s="9"/>
      <c r="G11" s="9"/>
      <c r="H11" s="9"/>
      <c r="I11" s="9"/>
      <c r="J11" s="9"/>
      <c r="K11" s="8"/>
      <c r="L11" s="8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0">
        <f t="shared" si="0"/>
        <v>0</v>
      </c>
      <c r="BB11" s="12">
        <f t="shared" si="1"/>
        <v>0</v>
      </c>
    </row>
    <row r="12" spans="1:54" ht="14.25" customHeight="1" x14ac:dyDescent="0.25">
      <c r="A12" s="7">
        <v>9</v>
      </c>
      <c r="B12" s="7" t="s">
        <v>63</v>
      </c>
      <c r="C12" s="8"/>
      <c r="D12" s="8"/>
      <c r="E12" s="8"/>
      <c r="F12" s="8"/>
      <c r="G12" s="9"/>
      <c r="H12" s="8"/>
      <c r="I12" s="9"/>
      <c r="J12" s="9"/>
      <c r="K12" s="9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0">
        <f t="shared" si="0"/>
        <v>0</v>
      </c>
      <c r="BB12" s="12">
        <f t="shared" si="1"/>
        <v>0</v>
      </c>
    </row>
    <row r="13" spans="1:54" ht="14.25" customHeight="1" x14ac:dyDescent="0.25">
      <c r="A13" s="7">
        <v>10</v>
      </c>
      <c r="B13" s="7" t="s">
        <v>64</v>
      </c>
      <c r="C13" s="8"/>
      <c r="D13" s="8"/>
      <c r="E13" s="9"/>
      <c r="F13" s="8"/>
      <c r="G13" s="8"/>
      <c r="H13" s="8"/>
      <c r="I13" s="9"/>
      <c r="J13" s="9"/>
      <c r="K13" s="9"/>
      <c r="L13" s="9"/>
      <c r="M13" s="11"/>
      <c r="N13" s="11"/>
      <c r="O13" s="10"/>
      <c r="P13" s="11"/>
      <c r="Q13" s="11"/>
      <c r="R13" s="11"/>
      <c r="S13" s="11"/>
      <c r="T13" s="11"/>
      <c r="U13" s="10"/>
      <c r="V13" s="10"/>
      <c r="W13" s="10"/>
      <c r="X13" s="10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0">
        <f t="shared" si="0"/>
        <v>0</v>
      </c>
      <c r="BB13" s="12">
        <f t="shared" si="1"/>
        <v>0</v>
      </c>
    </row>
    <row r="14" spans="1:54" ht="14.25" customHeight="1" x14ac:dyDescent="0.25">
      <c r="A14" s="7">
        <v>11</v>
      </c>
      <c r="B14" s="7" t="s">
        <v>65</v>
      </c>
      <c r="C14" s="8"/>
      <c r="D14" s="8"/>
      <c r="E14" s="8"/>
      <c r="F14" s="8"/>
      <c r="G14" s="8"/>
      <c r="H14" s="9"/>
      <c r="I14" s="8"/>
      <c r="J14" s="8"/>
      <c r="K14" s="8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0">
        <f t="shared" si="0"/>
        <v>0</v>
      </c>
      <c r="BB14" s="12">
        <f t="shared" si="1"/>
        <v>0</v>
      </c>
    </row>
    <row r="15" spans="1:54" ht="14.25" customHeight="1" x14ac:dyDescent="0.25">
      <c r="A15" s="7">
        <v>12</v>
      </c>
      <c r="B15" s="7" t="s">
        <v>66</v>
      </c>
      <c r="C15" s="8"/>
      <c r="D15" s="8"/>
      <c r="E15" s="9"/>
      <c r="F15" s="9"/>
      <c r="G15" s="9"/>
      <c r="H15" s="9"/>
      <c r="I15" s="8"/>
      <c r="J15" s="9"/>
      <c r="K15" s="9"/>
      <c r="L15" s="9"/>
      <c r="M15" s="10"/>
      <c r="N15" s="10"/>
      <c r="O15" s="10"/>
      <c r="P15" s="11"/>
      <c r="Q15" s="11"/>
      <c r="R15" s="10"/>
      <c r="S15" s="11"/>
      <c r="T15" s="11"/>
      <c r="U15" s="10"/>
      <c r="V15" s="10"/>
      <c r="W15" s="10"/>
      <c r="X15" s="10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0">
        <f t="shared" si="0"/>
        <v>0</v>
      </c>
      <c r="BB15" s="12">
        <f t="shared" si="1"/>
        <v>0</v>
      </c>
    </row>
    <row r="16" spans="1:54" ht="14.25" customHeight="1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ht="14.25" customHeight="1" x14ac:dyDescent="0.25">
      <c r="AI17" s="22"/>
      <c r="AJ17" s="20"/>
      <c r="AK17" s="20"/>
      <c r="AL17" s="21"/>
      <c r="AM17" s="21"/>
      <c r="AN17" s="21"/>
      <c r="AO17" s="21"/>
      <c r="AP17" s="21"/>
      <c r="AQ17" s="21"/>
      <c r="AR17" s="21"/>
      <c r="AS17" s="22"/>
      <c r="AT17" s="22"/>
      <c r="AU17" s="22"/>
      <c r="AV17" s="22"/>
    </row>
    <row r="18" spans="1:55" ht="14.25" customHeight="1" x14ac:dyDescent="0.25">
      <c r="A18" s="36" t="s">
        <v>67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O18" s="37" t="s">
        <v>68</v>
      </c>
      <c r="P18" s="27"/>
      <c r="Q18" s="27"/>
      <c r="R18" s="27"/>
      <c r="S18" s="27"/>
      <c r="T18" s="27"/>
      <c r="U18" s="27"/>
      <c r="V18" s="27"/>
      <c r="W18" s="27"/>
      <c r="X18" s="28"/>
    </row>
    <row r="19" spans="1:55" ht="14.25" customHeight="1" x14ac:dyDescent="0.25">
      <c r="A19" s="29" t="s">
        <v>1</v>
      </c>
      <c r="B19" s="31" t="s">
        <v>2</v>
      </c>
      <c r="C19" s="10">
        <v>1</v>
      </c>
      <c r="D19" s="10">
        <v>1</v>
      </c>
      <c r="E19" s="10"/>
      <c r="F19" s="10"/>
      <c r="G19" s="10"/>
      <c r="H19" s="10"/>
      <c r="I19" s="10"/>
      <c r="J19" s="10"/>
      <c r="K19" s="13"/>
      <c r="L19" s="13"/>
      <c r="M19" s="1">
        <f>COUNTIF(C19:L19,"=1")</f>
        <v>2</v>
      </c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">
        <f>COUNTIF(O19:X19,"=1")</f>
        <v>4</v>
      </c>
    </row>
    <row r="20" spans="1:55" ht="76.5" customHeight="1" x14ac:dyDescent="0.25">
      <c r="A20" s="30"/>
      <c r="B20" s="30"/>
      <c r="C20" s="14" t="s">
        <v>69</v>
      </c>
      <c r="D20" s="14" t="s">
        <v>70</v>
      </c>
      <c r="E20" s="14" t="s">
        <v>71</v>
      </c>
      <c r="F20" s="14" t="s">
        <v>72</v>
      </c>
      <c r="G20" s="14" t="s">
        <v>73</v>
      </c>
      <c r="H20" s="14" t="s">
        <v>74</v>
      </c>
      <c r="I20" s="14" t="s">
        <v>75</v>
      </c>
      <c r="J20" s="14" t="s">
        <v>76</v>
      </c>
      <c r="K20" s="15" t="s">
        <v>77</v>
      </c>
      <c r="L20" s="15" t="s">
        <v>78</v>
      </c>
      <c r="M20" s="15" t="s">
        <v>53</v>
      </c>
      <c r="N20" s="15" t="s">
        <v>54</v>
      </c>
      <c r="O20" s="6" t="s">
        <v>79</v>
      </c>
      <c r="P20" s="6" t="s">
        <v>80</v>
      </c>
      <c r="Q20" s="6" t="s">
        <v>81</v>
      </c>
      <c r="R20" s="6" t="s">
        <v>82</v>
      </c>
      <c r="S20" s="6" t="s">
        <v>83</v>
      </c>
      <c r="T20" s="6" t="s">
        <v>84</v>
      </c>
      <c r="U20" s="6" t="s">
        <v>85</v>
      </c>
      <c r="V20" s="6" t="s">
        <v>86</v>
      </c>
      <c r="W20" s="6" t="s">
        <v>87</v>
      </c>
      <c r="X20" s="6" t="s">
        <v>88</v>
      </c>
      <c r="Y20" s="6" t="s">
        <v>53</v>
      </c>
      <c r="Z20" s="6" t="s">
        <v>54</v>
      </c>
      <c r="AF20" s="34" t="s">
        <v>89</v>
      </c>
      <c r="AG20" s="27"/>
      <c r="AH20" s="28"/>
      <c r="AI20" s="34" t="s">
        <v>90</v>
      </c>
      <c r="AJ20" s="27"/>
      <c r="AK20" s="28"/>
      <c r="AL20" s="34" t="s">
        <v>91</v>
      </c>
      <c r="AM20" s="27"/>
      <c r="AN20" s="28"/>
      <c r="AO20" s="35" t="s">
        <v>92</v>
      </c>
      <c r="AP20" s="27"/>
      <c r="AQ20" s="28"/>
      <c r="AR20" s="33" t="s">
        <v>93</v>
      </c>
      <c r="AS20" s="27"/>
      <c r="AT20" s="28"/>
      <c r="AU20" s="33" t="s">
        <v>94</v>
      </c>
      <c r="AV20" s="27"/>
      <c r="AW20" s="28"/>
      <c r="AX20" s="32" t="s">
        <v>95</v>
      </c>
      <c r="AY20" s="27"/>
      <c r="AZ20" s="27"/>
      <c r="BA20" s="18" t="s">
        <v>96</v>
      </c>
    </row>
    <row r="21" spans="1:55" ht="14.25" customHeight="1" x14ac:dyDescent="0.25">
      <c r="A21" s="16">
        <v>1</v>
      </c>
      <c r="B21" s="16" t="s">
        <v>55</v>
      </c>
      <c r="C21" s="11"/>
      <c r="D21" s="11"/>
      <c r="E21" s="11"/>
      <c r="F21" s="10"/>
      <c r="G21" s="10"/>
      <c r="H21" s="10"/>
      <c r="I21" s="10"/>
      <c r="J21" s="10"/>
      <c r="K21" s="10"/>
      <c r="L21" s="10"/>
      <c r="M21" s="10">
        <f t="shared" ref="M21:M32" si="2">COUNTIF(C21:L21,"&gt;0")</f>
        <v>0</v>
      </c>
      <c r="N21" s="10">
        <f t="shared" ref="N21:N32" si="3">SUM(C21:L21)</f>
        <v>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>
        <f t="shared" ref="Y21:Y32" si="4">COUNTIF(O21:X21,"&gt;0")</f>
        <v>0</v>
      </c>
      <c r="Z21" s="10">
        <f t="shared" ref="Z21:Z32" si="5">SUM(O21:X21)</f>
        <v>0</v>
      </c>
      <c r="AF21" s="23" t="e">
        <f>ROUND((N21+BB4)/(M21+BA4)*6,0)</f>
        <v>#DIV/0!</v>
      </c>
      <c r="AG21" s="24"/>
      <c r="AH21" s="25"/>
      <c r="AI21" s="23">
        <f>ROUND(Z21/$Y$19*2,0)</f>
        <v>0</v>
      </c>
      <c r="AJ21" s="24"/>
      <c r="AK21" s="25"/>
      <c r="AL21" s="23" t="e">
        <f>ROUND(SUM(AF21:AK21),0)</f>
        <v>#DIV/0!</v>
      </c>
      <c r="AM21" s="24"/>
      <c r="AN21" s="25"/>
      <c r="AO21" s="26"/>
      <c r="AP21" s="27"/>
      <c r="AQ21" s="28"/>
      <c r="AR21" s="23" t="e">
        <f>ROUND(SUM(AL21:AQ21),0)</f>
        <v>#DIV/0!</v>
      </c>
      <c r="AS21" s="24"/>
      <c r="AT21" s="25"/>
      <c r="AU21" s="23"/>
      <c r="AV21" s="24"/>
      <c r="AW21" s="25"/>
      <c r="AX21" s="23" t="e">
        <f>ROUND(SUM(AR21:AW21),0)</f>
        <v>#DIV/0!</v>
      </c>
      <c r="AY21" s="24"/>
      <c r="AZ21" s="24"/>
      <c r="BA21" s="19" t="e">
        <f>IF(AND(AX21&gt;=0,AX21&lt;55),2,IF(AND(AX21&gt;=55,AX21&lt;71),3,IF(AND(AX21&gt;=71,AX21&lt;86),4,IF(AND(AX21&gt;=86,AX20&lt;=100),5,5))))</f>
        <v>#DIV/0!</v>
      </c>
      <c r="BC21" s="17"/>
    </row>
    <row r="22" spans="1:55" ht="14.25" customHeight="1" x14ac:dyDescent="0.25">
      <c r="A22" s="7">
        <v>2</v>
      </c>
      <c r="B22" s="7" t="s">
        <v>56</v>
      </c>
      <c r="C22" s="11"/>
      <c r="D22" s="11"/>
      <c r="E22" s="11"/>
      <c r="F22" s="10"/>
      <c r="G22" s="10"/>
      <c r="H22" s="10"/>
      <c r="I22" s="10"/>
      <c r="J22" s="10"/>
      <c r="K22" s="10"/>
      <c r="L22" s="10"/>
      <c r="M22" s="10">
        <f t="shared" si="2"/>
        <v>0</v>
      </c>
      <c r="N22" s="10">
        <f t="shared" si="3"/>
        <v>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>
        <f t="shared" si="4"/>
        <v>0</v>
      </c>
      <c r="Z22" s="10">
        <f t="shared" si="5"/>
        <v>0</v>
      </c>
      <c r="AF22" s="23" t="e">
        <f t="shared" ref="AF22:AF32" si="6">ROUND((N22+BB5)/(M22+BA5)*6,0)</f>
        <v>#DIV/0!</v>
      </c>
      <c r="AG22" s="24"/>
      <c r="AH22" s="25"/>
      <c r="AI22" s="23">
        <f t="shared" ref="AI22:AI32" si="7">ROUND(Z22/$Y$19*2,0)</f>
        <v>0</v>
      </c>
      <c r="AJ22" s="24"/>
      <c r="AK22" s="25"/>
      <c r="AL22" s="23" t="e">
        <f t="shared" ref="AL22:AL32" si="8">ROUND(SUM(AF22:AK22),0)</f>
        <v>#DIV/0!</v>
      </c>
      <c r="AM22" s="24"/>
      <c r="AN22" s="25"/>
      <c r="AO22" s="26"/>
      <c r="AP22" s="27"/>
      <c r="AQ22" s="28"/>
      <c r="AR22" s="23" t="e">
        <f t="shared" ref="AR22:AR32" si="9">ROUND(SUM(AL22:AQ22),0)</f>
        <v>#DIV/0!</v>
      </c>
      <c r="AS22" s="24"/>
      <c r="AT22" s="25"/>
      <c r="AU22" s="23"/>
      <c r="AV22" s="24"/>
      <c r="AW22" s="25"/>
      <c r="AX22" s="23" t="e">
        <f t="shared" ref="AX22:AX32" si="10">ROUND(SUM(AR22:AW22),0)</f>
        <v>#DIV/0!</v>
      </c>
      <c r="AY22" s="24"/>
      <c r="AZ22" s="24"/>
      <c r="BA22" s="19" t="e">
        <f t="shared" ref="BA22:BA32" si="11">IF(AND(AX22&gt;=0,AX22&lt;55),2,IF(AND(AX22&gt;=55,AX22&lt;71),3,IF(AND(AX22&gt;=71,AX22&lt;86),4,IF(AND(AX22&gt;=86,AX21&lt;=100),5,5))))</f>
        <v>#DIV/0!</v>
      </c>
    </row>
    <row r="23" spans="1:55" ht="14.25" customHeight="1" x14ac:dyDescent="0.25">
      <c r="A23" s="7">
        <v>3</v>
      </c>
      <c r="B23" s="7" t="s">
        <v>57</v>
      </c>
      <c r="C23" s="11"/>
      <c r="D23" s="11"/>
      <c r="E23" s="11"/>
      <c r="F23" s="10"/>
      <c r="G23" s="10"/>
      <c r="H23" s="10"/>
      <c r="I23" s="10"/>
      <c r="J23" s="10"/>
      <c r="K23" s="10"/>
      <c r="L23" s="10"/>
      <c r="M23" s="10">
        <f t="shared" si="2"/>
        <v>0</v>
      </c>
      <c r="N23" s="10">
        <f t="shared" si="3"/>
        <v>0</v>
      </c>
      <c r="O23" s="11"/>
      <c r="P23" s="11"/>
      <c r="Q23" s="11"/>
      <c r="R23" s="11"/>
      <c r="S23" s="10"/>
      <c r="T23" s="10"/>
      <c r="U23" s="10"/>
      <c r="V23" s="10"/>
      <c r="W23" s="10"/>
      <c r="X23" s="10"/>
      <c r="Y23" s="10">
        <f t="shared" si="4"/>
        <v>0</v>
      </c>
      <c r="Z23" s="10">
        <f t="shared" si="5"/>
        <v>0</v>
      </c>
      <c r="AF23" s="23" t="e">
        <f t="shared" si="6"/>
        <v>#DIV/0!</v>
      </c>
      <c r="AG23" s="24"/>
      <c r="AH23" s="25"/>
      <c r="AI23" s="23">
        <f t="shared" si="7"/>
        <v>0</v>
      </c>
      <c r="AJ23" s="24"/>
      <c r="AK23" s="25"/>
      <c r="AL23" s="23" t="e">
        <f t="shared" si="8"/>
        <v>#DIV/0!</v>
      </c>
      <c r="AM23" s="24"/>
      <c r="AN23" s="25"/>
      <c r="AO23" s="26"/>
      <c r="AP23" s="27"/>
      <c r="AQ23" s="28"/>
      <c r="AR23" s="23" t="e">
        <f t="shared" si="9"/>
        <v>#DIV/0!</v>
      </c>
      <c r="AS23" s="24"/>
      <c r="AT23" s="25"/>
      <c r="AU23" s="23"/>
      <c r="AV23" s="24"/>
      <c r="AW23" s="25"/>
      <c r="AX23" s="23" t="e">
        <f t="shared" si="10"/>
        <v>#DIV/0!</v>
      </c>
      <c r="AY23" s="24"/>
      <c r="AZ23" s="24"/>
      <c r="BA23" s="19" t="e">
        <f t="shared" si="11"/>
        <v>#DIV/0!</v>
      </c>
    </row>
    <row r="24" spans="1:55" ht="14.25" customHeight="1" x14ac:dyDescent="0.25">
      <c r="A24" s="7">
        <v>4</v>
      </c>
      <c r="B24" s="7" t="s">
        <v>58</v>
      </c>
      <c r="C24" s="11"/>
      <c r="D24" s="11"/>
      <c r="E24" s="11"/>
      <c r="F24" s="10"/>
      <c r="G24" s="10"/>
      <c r="H24" s="10"/>
      <c r="I24" s="10"/>
      <c r="J24" s="10"/>
      <c r="K24" s="10"/>
      <c r="L24" s="10"/>
      <c r="M24" s="10">
        <f t="shared" si="2"/>
        <v>0</v>
      </c>
      <c r="N24" s="10">
        <f t="shared" si="3"/>
        <v>0</v>
      </c>
      <c r="O24" s="11"/>
      <c r="P24" s="11"/>
      <c r="Q24" s="10"/>
      <c r="R24" s="10"/>
      <c r="S24" s="10"/>
      <c r="T24" s="10"/>
      <c r="U24" s="10"/>
      <c r="V24" s="10"/>
      <c r="W24" s="10"/>
      <c r="X24" s="10"/>
      <c r="Y24" s="10">
        <f t="shared" si="4"/>
        <v>0</v>
      </c>
      <c r="Z24" s="10">
        <f t="shared" si="5"/>
        <v>0</v>
      </c>
      <c r="AF24" s="23" t="e">
        <f t="shared" si="6"/>
        <v>#DIV/0!</v>
      </c>
      <c r="AG24" s="24"/>
      <c r="AH24" s="25"/>
      <c r="AI24" s="23">
        <f t="shared" si="7"/>
        <v>0</v>
      </c>
      <c r="AJ24" s="24"/>
      <c r="AK24" s="25"/>
      <c r="AL24" s="23" t="e">
        <f t="shared" si="8"/>
        <v>#DIV/0!</v>
      </c>
      <c r="AM24" s="24"/>
      <c r="AN24" s="25"/>
      <c r="AO24" s="26"/>
      <c r="AP24" s="27"/>
      <c r="AQ24" s="28"/>
      <c r="AR24" s="23" t="e">
        <f t="shared" si="9"/>
        <v>#DIV/0!</v>
      </c>
      <c r="AS24" s="24"/>
      <c r="AT24" s="25"/>
      <c r="AU24" s="23"/>
      <c r="AV24" s="24"/>
      <c r="AW24" s="25"/>
      <c r="AX24" s="23" t="e">
        <f t="shared" si="10"/>
        <v>#DIV/0!</v>
      </c>
      <c r="AY24" s="24"/>
      <c r="AZ24" s="24"/>
      <c r="BA24" s="19" t="e">
        <f t="shared" si="11"/>
        <v>#DIV/0!</v>
      </c>
    </row>
    <row r="25" spans="1:55" ht="14.25" customHeight="1" x14ac:dyDescent="0.25">
      <c r="A25" s="7">
        <v>5</v>
      </c>
      <c r="B25" s="7" t="s">
        <v>59</v>
      </c>
      <c r="C25" s="11"/>
      <c r="D25" s="11"/>
      <c r="E25" s="11"/>
      <c r="F25" s="10"/>
      <c r="G25" s="10"/>
      <c r="H25" s="10"/>
      <c r="I25" s="10"/>
      <c r="J25" s="10"/>
      <c r="K25" s="10"/>
      <c r="L25" s="10"/>
      <c r="M25" s="10">
        <f t="shared" si="2"/>
        <v>0</v>
      </c>
      <c r="N25" s="10">
        <f t="shared" si="3"/>
        <v>0</v>
      </c>
      <c r="O25" s="11"/>
      <c r="P25" s="11"/>
      <c r="Q25" s="10"/>
      <c r="R25" s="10"/>
      <c r="S25" s="10"/>
      <c r="T25" s="10"/>
      <c r="U25" s="10"/>
      <c r="V25" s="10"/>
      <c r="W25" s="10"/>
      <c r="X25" s="10"/>
      <c r="Y25" s="10">
        <f t="shared" si="4"/>
        <v>0</v>
      </c>
      <c r="Z25" s="10">
        <f t="shared" si="5"/>
        <v>0</v>
      </c>
      <c r="AF25" s="23" t="e">
        <f t="shared" si="6"/>
        <v>#DIV/0!</v>
      </c>
      <c r="AG25" s="24"/>
      <c r="AH25" s="25"/>
      <c r="AI25" s="23">
        <f t="shared" si="7"/>
        <v>0</v>
      </c>
      <c r="AJ25" s="24"/>
      <c r="AK25" s="25"/>
      <c r="AL25" s="23" t="e">
        <f t="shared" si="8"/>
        <v>#DIV/0!</v>
      </c>
      <c r="AM25" s="24"/>
      <c r="AN25" s="25"/>
      <c r="AO25" s="26"/>
      <c r="AP25" s="27"/>
      <c r="AQ25" s="28"/>
      <c r="AR25" s="23" t="e">
        <f t="shared" si="9"/>
        <v>#DIV/0!</v>
      </c>
      <c r="AS25" s="24"/>
      <c r="AT25" s="25"/>
      <c r="AU25" s="23"/>
      <c r="AV25" s="24"/>
      <c r="AW25" s="25"/>
      <c r="AX25" s="23" t="e">
        <f t="shared" si="10"/>
        <v>#DIV/0!</v>
      </c>
      <c r="AY25" s="24"/>
      <c r="AZ25" s="24"/>
      <c r="BA25" s="19" t="e">
        <f t="shared" si="11"/>
        <v>#DIV/0!</v>
      </c>
    </row>
    <row r="26" spans="1:55" ht="14.25" customHeight="1" x14ac:dyDescent="0.25">
      <c r="A26" s="7">
        <v>6</v>
      </c>
      <c r="B26" s="7" t="s">
        <v>60</v>
      </c>
      <c r="C26" s="11"/>
      <c r="D26" s="11"/>
      <c r="E26" s="11"/>
      <c r="F26" s="10"/>
      <c r="G26" s="10"/>
      <c r="H26" s="10"/>
      <c r="I26" s="10"/>
      <c r="J26" s="10"/>
      <c r="K26" s="10"/>
      <c r="L26" s="10"/>
      <c r="M26" s="10">
        <f t="shared" si="2"/>
        <v>0</v>
      </c>
      <c r="N26" s="10">
        <f t="shared" si="3"/>
        <v>0</v>
      </c>
      <c r="O26" s="10"/>
      <c r="P26" s="10"/>
      <c r="Q26" s="10"/>
      <c r="R26" s="11"/>
      <c r="S26" s="10"/>
      <c r="T26" s="10"/>
      <c r="U26" s="10"/>
      <c r="V26" s="10"/>
      <c r="W26" s="10"/>
      <c r="X26" s="10"/>
      <c r="Y26" s="10">
        <f t="shared" si="4"/>
        <v>0</v>
      </c>
      <c r="Z26" s="10">
        <f t="shared" si="5"/>
        <v>0</v>
      </c>
      <c r="AF26" s="23" t="e">
        <f t="shared" si="6"/>
        <v>#DIV/0!</v>
      </c>
      <c r="AG26" s="24"/>
      <c r="AH26" s="25"/>
      <c r="AI26" s="23">
        <f t="shared" si="7"/>
        <v>0</v>
      </c>
      <c r="AJ26" s="24"/>
      <c r="AK26" s="25"/>
      <c r="AL26" s="23" t="e">
        <f t="shared" si="8"/>
        <v>#DIV/0!</v>
      </c>
      <c r="AM26" s="24"/>
      <c r="AN26" s="25"/>
      <c r="AO26" s="26"/>
      <c r="AP26" s="27"/>
      <c r="AQ26" s="28"/>
      <c r="AR26" s="23" t="e">
        <f t="shared" si="9"/>
        <v>#DIV/0!</v>
      </c>
      <c r="AS26" s="24"/>
      <c r="AT26" s="25"/>
      <c r="AU26" s="23"/>
      <c r="AV26" s="24"/>
      <c r="AW26" s="25"/>
      <c r="AX26" s="23" t="e">
        <f t="shared" si="10"/>
        <v>#DIV/0!</v>
      </c>
      <c r="AY26" s="24"/>
      <c r="AZ26" s="24"/>
      <c r="BA26" s="19" t="e">
        <f t="shared" si="11"/>
        <v>#DIV/0!</v>
      </c>
    </row>
    <row r="27" spans="1:55" ht="14.25" customHeight="1" x14ac:dyDescent="0.25">
      <c r="A27" s="7">
        <v>7</v>
      </c>
      <c r="B27" s="7" t="s">
        <v>61</v>
      </c>
      <c r="C27" s="11"/>
      <c r="D27" s="11"/>
      <c r="E27" s="11"/>
      <c r="F27" s="10"/>
      <c r="G27" s="10"/>
      <c r="H27" s="10"/>
      <c r="I27" s="10"/>
      <c r="J27" s="10"/>
      <c r="K27" s="10"/>
      <c r="L27" s="10"/>
      <c r="M27" s="10">
        <f t="shared" si="2"/>
        <v>0</v>
      </c>
      <c r="N27" s="10">
        <f t="shared" si="3"/>
        <v>0</v>
      </c>
      <c r="O27" s="11"/>
      <c r="P27" s="10"/>
      <c r="Q27" s="10"/>
      <c r="R27" s="10"/>
      <c r="S27" s="10"/>
      <c r="T27" s="10"/>
      <c r="U27" s="10"/>
      <c r="V27" s="10"/>
      <c r="W27" s="10"/>
      <c r="X27" s="10"/>
      <c r="Y27" s="10">
        <f t="shared" si="4"/>
        <v>0</v>
      </c>
      <c r="Z27" s="10">
        <f t="shared" si="5"/>
        <v>0</v>
      </c>
      <c r="AF27" s="23" t="e">
        <f t="shared" si="6"/>
        <v>#DIV/0!</v>
      </c>
      <c r="AG27" s="24"/>
      <c r="AH27" s="25"/>
      <c r="AI27" s="23">
        <f t="shared" si="7"/>
        <v>0</v>
      </c>
      <c r="AJ27" s="24"/>
      <c r="AK27" s="25"/>
      <c r="AL27" s="23" t="e">
        <f t="shared" si="8"/>
        <v>#DIV/0!</v>
      </c>
      <c r="AM27" s="24"/>
      <c r="AN27" s="25"/>
      <c r="AO27" s="26"/>
      <c r="AP27" s="27"/>
      <c r="AQ27" s="28"/>
      <c r="AR27" s="23" t="e">
        <f t="shared" si="9"/>
        <v>#DIV/0!</v>
      </c>
      <c r="AS27" s="24"/>
      <c r="AT27" s="25"/>
      <c r="AU27" s="23"/>
      <c r="AV27" s="24"/>
      <c r="AW27" s="25"/>
      <c r="AX27" s="23" t="e">
        <f t="shared" si="10"/>
        <v>#DIV/0!</v>
      </c>
      <c r="AY27" s="24"/>
      <c r="AZ27" s="24"/>
      <c r="BA27" s="19" t="e">
        <f t="shared" si="11"/>
        <v>#DIV/0!</v>
      </c>
    </row>
    <row r="28" spans="1:55" ht="14.25" customHeight="1" x14ac:dyDescent="0.25">
      <c r="A28" s="7">
        <v>8</v>
      </c>
      <c r="B28" s="7" t="s">
        <v>62</v>
      </c>
      <c r="C28" s="11"/>
      <c r="D28" s="11"/>
      <c r="E28" s="11"/>
      <c r="F28" s="10"/>
      <c r="G28" s="10"/>
      <c r="H28" s="10"/>
      <c r="I28" s="10"/>
      <c r="J28" s="10"/>
      <c r="K28" s="10"/>
      <c r="L28" s="10"/>
      <c r="M28" s="10">
        <f t="shared" si="2"/>
        <v>0</v>
      </c>
      <c r="N28" s="10">
        <f t="shared" si="3"/>
        <v>0</v>
      </c>
      <c r="O28" s="11"/>
      <c r="P28" s="11"/>
      <c r="Q28" s="10"/>
      <c r="R28" s="10"/>
      <c r="S28" s="10"/>
      <c r="T28" s="10"/>
      <c r="U28" s="10"/>
      <c r="V28" s="10"/>
      <c r="W28" s="10"/>
      <c r="X28" s="10"/>
      <c r="Y28" s="10">
        <f t="shared" si="4"/>
        <v>0</v>
      </c>
      <c r="Z28" s="10">
        <f t="shared" si="5"/>
        <v>0</v>
      </c>
      <c r="AF28" s="23" t="e">
        <f t="shared" si="6"/>
        <v>#DIV/0!</v>
      </c>
      <c r="AG28" s="24"/>
      <c r="AH28" s="25"/>
      <c r="AI28" s="23">
        <f t="shared" si="7"/>
        <v>0</v>
      </c>
      <c r="AJ28" s="24"/>
      <c r="AK28" s="25"/>
      <c r="AL28" s="23" t="e">
        <f t="shared" si="8"/>
        <v>#DIV/0!</v>
      </c>
      <c r="AM28" s="24"/>
      <c r="AN28" s="25"/>
      <c r="AO28" s="26"/>
      <c r="AP28" s="27"/>
      <c r="AQ28" s="28"/>
      <c r="AR28" s="23" t="e">
        <f t="shared" si="9"/>
        <v>#DIV/0!</v>
      </c>
      <c r="AS28" s="24"/>
      <c r="AT28" s="25"/>
      <c r="AU28" s="23"/>
      <c r="AV28" s="24"/>
      <c r="AW28" s="25"/>
      <c r="AX28" s="23" t="e">
        <f t="shared" si="10"/>
        <v>#DIV/0!</v>
      </c>
      <c r="AY28" s="24"/>
      <c r="AZ28" s="24"/>
      <c r="BA28" s="19" t="e">
        <f t="shared" si="11"/>
        <v>#DIV/0!</v>
      </c>
    </row>
    <row r="29" spans="1:55" ht="14.25" customHeight="1" x14ac:dyDescent="0.25">
      <c r="A29" s="7">
        <v>9</v>
      </c>
      <c r="B29" s="7" t="s">
        <v>63</v>
      </c>
      <c r="C29" s="11"/>
      <c r="D29" s="11"/>
      <c r="E29" s="11"/>
      <c r="F29" s="10"/>
      <c r="G29" s="10"/>
      <c r="H29" s="10"/>
      <c r="I29" s="10"/>
      <c r="J29" s="10"/>
      <c r="K29" s="10"/>
      <c r="L29" s="10"/>
      <c r="M29" s="10">
        <f t="shared" si="2"/>
        <v>0</v>
      </c>
      <c r="N29" s="10">
        <f t="shared" si="3"/>
        <v>0</v>
      </c>
      <c r="O29" s="10"/>
      <c r="P29" s="11"/>
      <c r="Q29" s="10"/>
      <c r="R29" s="11"/>
      <c r="S29" s="10"/>
      <c r="T29" s="10"/>
      <c r="U29" s="10"/>
      <c r="V29" s="10"/>
      <c r="W29" s="10"/>
      <c r="X29" s="10"/>
      <c r="Y29" s="10">
        <f t="shared" si="4"/>
        <v>0</v>
      </c>
      <c r="Z29" s="10">
        <f t="shared" si="5"/>
        <v>0</v>
      </c>
      <c r="AF29" s="23" t="e">
        <f t="shared" si="6"/>
        <v>#DIV/0!</v>
      </c>
      <c r="AG29" s="24"/>
      <c r="AH29" s="25"/>
      <c r="AI29" s="23">
        <f t="shared" si="7"/>
        <v>0</v>
      </c>
      <c r="AJ29" s="24"/>
      <c r="AK29" s="25"/>
      <c r="AL29" s="23" t="e">
        <f t="shared" si="8"/>
        <v>#DIV/0!</v>
      </c>
      <c r="AM29" s="24"/>
      <c r="AN29" s="25"/>
      <c r="AO29" s="26"/>
      <c r="AP29" s="27"/>
      <c r="AQ29" s="28"/>
      <c r="AR29" s="23" t="e">
        <f t="shared" si="9"/>
        <v>#DIV/0!</v>
      </c>
      <c r="AS29" s="24"/>
      <c r="AT29" s="25"/>
      <c r="AU29" s="23"/>
      <c r="AV29" s="24"/>
      <c r="AW29" s="25"/>
      <c r="AX29" s="23" t="e">
        <f t="shared" si="10"/>
        <v>#DIV/0!</v>
      </c>
      <c r="AY29" s="24"/>
      <c r="AZ29" s="24"/>
      <c r="BA29" s="19" t="e">
        <f t="shared" si="11"/>
        <v>#DIV/0!</v>
      </c>
    </row>
    <row r="30" spans="1:55" ht="14.25" customHeight="1" x14ac:dyDescent="0.25">
      <c r="A30" s="7">
        <v>10</v>
      </c>
      <c r="B30" s="7" t="s">
        <v>64</v>
      </c>
      <c r="C30" s="11"/>
      <c r="D30" s="11"/>
      <c r="E30" s="11"/>
      <c r="F30" s="10"/>
      <c r="G30" s="10"/>
      <c r="H30" s="10"/>
      <c r="I30" s="10"/>
      <c r="J30" s="10"/>
      <c r="K30" s="10"/>
      <c r="L30" s="10"/>
      <c r="M30" s="10">
        <f t="shared" si="2"/>
        <v>0</v>
      </c>
      <c r="N30" s="10">
        <f t="shared" si="3"/>
        <v>0</v>
      </c>
      <c r="O30" s="11"/>
      <c r="P30" s="11"/>
      <c r="Q30" s="10"/>
      <c r="R30" s="10"/>
      <c r="S30" s="10"/>
      <c r="T30" s="10"/>
      <c r="U30" s="10"/>
      <c r="V30" s="10"/>
      <c r="W30" s="10"/>
      <c r="X30" s="10"/>
      <c r="Y30" s="10">
        <f t="shared" si="4"/>
        <v>0</v>
      </c>
      <c r="Z30" s="10">
        <f t="shared" si="5"/>
        <v>0</v>
      </c>
      <c r="AF30" s="23" t="e">
        <f t="shared" si="6"/>
        <v>#DIV/0!</v>
      </c>
      <c r="AG30" s="24"/>
      <c r="AH30" s="25"/>
      <c r="AI30" s="23">
        <f t="shared" si="7"/>
        <v>0</v>
      </c>
      <c r="AJ30" s="24"/>
      <c r="AK30" s="25"/>
      <c r="AL30" s="23" t="e">
        <f t="shared" si="8"/>
        <v>#DIV/0!</v>
      </c>
      <c r="AM30" s="24"/>
      <c r="AN30" s="25"/>
      <c r="AO30" s="26"/>
      <c r="AP30" s="27"/>
      <c r="AQ30" s="28"/>
      <c r="AR30" s="23" t="e">
        <f t="shared" si="9"/>
        <v>#DIV/0!</v>
      </c>
      <c r="AS30" s="24"/>
      <c r="AT30" s="25"/>
      <c r="AU30" s="23"/>
      <c r="AV30" s="24"/>
      <c r="AW30" s="25"/>
      <c r="AX30" s="23" t="e">
        <f t="shared" si="10"/>
        <v>#DIV/0!</v>
      </c>
      <c r="AY30" s="24"/>
      <c r="AZ30" s="24"/>
      <c r="BA30" s="19" t="e">
        <f t="shared" si="11"/>
        <v>#DIV/0!</v>
      </c>
    </row>
    <row r="31" spans="1:55" ht="14.25" customHeight="1" x14ac:dyDescent="0.25">
      <c r="A31" s="7">
        <v>11</v>
      </c>
      <c r="B31" s="7" t="s">
        <v>65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f t="shared" si="2"/>
        <v>0</v>
      </c>
      <c r="N31" s="10">
        <f t="shared" si="3"/>
        <v>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f t="shared" si="4"/>
        <v>0</v>
      </c>
      <c r="Z31" s="10">
        <f t="shared" si="5"/>
        <v>0</v>
      </c>
      <c r="AF31" s="23" t="e">
        <f t="shared" si="6"/>
        <v>#DIV/0!</v>
      </c>
      <c r="AG31" s="24"/>
      <c r="AH31" s="25"/>
      <c r="AI31" s="23">
        <f t="shared" si="7"/>
        <v>0</v>
      </c>
      <c r="AJ31" s="24"/>
      <c r="AK31" s="25"/>
      <c r="AL31" s="23" t="e">
        <f t="shared" si="8"/>
        <v>#DIV/0!</v>
      </c>
      <c r="AM31" s="24"/>
      <c r="AN31" s="25"/>
      <c r="AO31" s="26"/>
      <c r="AP31" s="27"/>
      <c r="AQ31" s="28"/>
      <c r="AR31" s="23" t="e">
        <f t="shared" si="9"/>
        <v>#DIV/0!</v>
      </c>
      <c r="AS31" s="24"/>
      <c r="AT31" s="25"/>
      <c r="AU31" s="23"/>
      <c r="AV31" s="24"/>
      <c r="AW31" s="25"/>
      <c r="AX31" s="23" t="e">
        <f t="shared" si="10"/>
        <v>#DIV/0!</v>
      </c>
      <c r="AY31" s="24"/>
      <c r="AZ31" s="24"/>
      <c r="BA31" s="19" t="e">
        <f t="shared" si="11"/>
        <v>#DIV/0!</v>
      </c>
    </row>
    <row r="32" spans="1:55" ht="14.25" customHeight="1" x14ac:dyDescent="0.25">
      <c r="A32" s="7">
        <v>12</v>
      </c>
      <c r="B32" s="7" t="s">
        <v>66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f t="shared" si="2"/>
        <v>0</v>
      </c>
      <c r="N32" s="10">
        <f t="shared" si="3"/>
        <v>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f t="shared" si="4"/>
        <v>0</v>
      </c>
      <c r="Z32" s="10">
        <f t="shared" si="5"/>
        <v>0</v>
      </c>
      <c r="AF32" s="23" t="e">
        <f t="shared" si="6"/>
        <v>#DIV/0!</v>
      </c>
      <c r="AG32" s="24"/>
      <c r="AH32" s="25"/>
      <c r="AI32" s="23">
        <f t="shared" si="7"/>
        <v>0</v>
      </c>
      <c r="AJ32" s="24"/>
      <c r="AK32" s="25"/>
      <c r="AL32" s="23" t="e">
        <f t="shared" si="8"/>
        <v>#DIV/0!</v>
      </c>
      <c r="AM32" s="24"/>
      <c r="AN32" s="25"/>
      <c r="AO32" s="26"/>
      <c r="AP32" s="27"/>
      <c r="AQ32" s="28"/>
      <c r="AR32" s="23" t="e">
        <f t="shared" si="9"/>
        <v>#DIV/0!</v>
      </c>
      <c r="AS32" s="24"/>
      <c r="AT32" s="25"/>
      <c r="AU32" s="23"/>
      <c r="AV32" s="24"/>
      <c r="AW32" s="25"/>
      <c r="AX32" s="23" t="e">
        <f t="shared" si="10"/>
        <v>#DIV/0!</v>
      </c>
      <c r="AY32" s="24"/>
      <c r="AZ32" s="24"/>
      <c r="BA32" s="19" t="e">
        <f t="shared" si="11"/>
        <v>#DIV/0!</v>
      </c>
    </row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98">
    <mergeCell ref="A1:AZ1"/>
    <mergeCell ref="A2:A3"/>
    <mergeCell ref="B2:B3"/>
    <mergeCell ref="A18:L18"/>
    <mergeCell ref="O18:X18"/>
    <mergeCell ref="AR23:AT23"/>
    <mergeCell ref="AU23:AW23"/>
    <mergeCell ref="AX23:AZ23"/>
    <mergeCell ref="AF23:AH23"/>
    <mergeCell ref="AL20:AN20"/>
    <mergeCell ref="AO20:AQ20"/>
    <mergeCell ref="AL21:AN21"/>
    <mergeCell ref="AO21:AQ21"/>
    <mergeCell ref="AL22:AN22"/>
    <mergeCell ref="AO22:AQ22"/>
    <mergeCell ref="AO23:AQ23"/>
    <mergeCell ref="AF20:AH20"/>
    <mergeCell ref="AU22:AW22"/>
    <mergeCell ref="AX22:AZ22"/>
    <mergeCell ref="A19:A20"/>
    <mergeCell ref="B19:B20"/>
    <mergeCell ref="AX20:AZ20"/>
    <mergeCell ref="AR22:AT22"/>
    <mergeCell ref="AR20:AT20"/>
    <mergeCell ref="AU20:AW20"/>
    <mergeCell ref="AR21:AT21"/>
    <mergeCell ref="AU21:AW21"/>
    <mergeCell ref="AX21:AZ21"/>
    <mergeCell ref="AI20:AK20"/>
    <mergeCell ref="AF21:AH21"/>
    <mergeCell ref="AI21:AK21"/>
    <mergeCell ref="AF22:AH22"/>
    <mergeCell ref="AI22:AK22"/>
    <mergeCell ref="AF24:AH24"/>
    <mergeCell ref="AF25:AH25"/>
    <mergeCell ref="AL23:AN23"/>
    <mergeCell ref="AL24:AN24"/>
    <mergeCell ref="AL25:AN25"/>
    <mergeCell ref="AI24:AK24"/>
    <mergeCell ref="AI25:AK25"/>
    <mergeCell ref="AI23:AK23"/>
    <mergeCell ref="AO24:AQ24"/>
    <mergeCell ref="AO25:AQ25"/>
    <mergeCell ref="AR25:AT25"/>
    <mergeCell ref="AU25:AW25"/>
    <mergeCell ref="AX25:AZ25"/>
    <mergeCell ref="AR24:AT24"/>
    <mergeCell ref="AU24:AW24"/>
    <mergeCell ref="AX24:AZ24"/>
    <mergeCell ref="AU30:AW30"/>
    <mergeCell ref="AX30:AZ30"/>
    <mergeCell ref="AF31:AH31"/>
    <mergeCell ref="AI31:AK31"/>
    <mergeCell ref="AL31:AN31"/>
    <mergeCell ref="AO31:AQ31"/>
    <mergeCell ref="AR31:AT31"/>
    <mergeCell ref="AU31:AW31"/>
    <mergeCell ref="AX31:AZ31"/>
    <mergeCell ref="AF30:AH30"/>
    <mergeCell ref="AI30:AK30"/>
    <mergeCell ref="AL30:AN30"/>
    <mergeCell ref="AO30:AQ30"/>
    <mergeCell ref="AR30:AT30"/>
    <mergeCell ref="AU26:AW26"/>
    <mergeCell ref="AX26:AZ26"/>
    <mergeCell ref="AF27:AH27"/>
    <mergeCell ref="AI27:AK27"/>
    <mergeCell ref="AL27:AN27"/>
    <mergeCell ref="AO27:AQ27"/>
    <mergeCell ref="AR27:AT27"/>
    <mergeCell ref="AU27:AW27"/>
    <mergeCell ref="AX27:AZ27"/>
    <mergeCell ref="AF26:AH26"/>
    <mergeCell ref="AI26:AK26"/>
    <mergeCell ref="AL26:AN26"/>
    <mergeCell ref="AO26:AQ26"/>
    <mergeCell ref="AR26:AT26"/>
    <mergeCell ref="AU28:AW28"/>
    <mergeCell ref="AX28:AZ28"/>
    <mergeCell ref="AF29:AH29"/>
    <mergeCell ref="AI29:AK29"/>
    <mergeCell ref="AL29:AN29"/>
    <mergeCell ref="AO29:AQ29"/>
    <mergeCell ref="AR29:AT29"/>
    <mergeCell ref="AU29:AW29"/>
    <mergeCell ref="AX29:AZ29"/>
    <mergeCell ref="AF28:AH28"/>
    <mergeCell ref="AI28:AK28"/>
    <mergeCell ref="AL28:AN28"/>
    <mergeCell ref="AO28:AQ28"/>
    <mergeCell ref="AR28:AT28"/>
    <mergeCell ref="AU32:AW32"/>
    <mergeCell ref="AX32:AZ32"/>
    <mergeCell ref="AF32:AH32"/>
    <mergeCell ref="AI32:AK32"/>
    <mergeCell ref="AL32:AN32"/>
    <mergeCell ref="AO32:AQ32"/>
    <mergeCell ref="AR32:AT32"/>
  </mergeCells>
  <conditionalFormatting sqref="C4:AF15">
    <cfRule type="cellIs" dxfId="41" priority="5" operator="equal">
      <formula>3</formula>
    </cfRule>
  </conditionalFormatting>
  <conditionalFormatting sqref="C4:AF15">
    <cfRule type="cellIs" dxfId="40" priority="6" operator="greaterThan">
      <formula>3</formula>
    </cfRule>
  </conditionalFormatting>
  <conditionalFormatting sqref="C4:AF15">
    <cfRule type="cellIs" dxfId="39" priority="7" operator="equal">
      <formula>0</formula>
    </cfRule>
  </conditionalFormatting>
  <conditionalFormatting sqref="C20">
    <cfRule type="cellIs" dxfId="38" priority="8" operator="equal">
      <formula>$C$19</formula>
    </cfRule>
  </conditionalFormatting>
  <conditionalFormatting sqref="C20">
    <cfRule type="cellIs" dxfId="37" priority="9" operator="equal">
      <formula>$C$19</formula>
    </cfRule>
  </conditionalFormatting>
  <conditionalFormatting sqref="C20:L20">
    <cfRule type="cellIs" dxfId="36" priority="10" operator="equal">
      <formula>1</formula>
    </cfRule>
  </conditionalFormatting>
  <conditionalFormatting sqref="C19:L19">
    <cfRule type="cellIs" dxfId="35" priority="11" operator="equal">
      <formula>1</formula>
    </cfRule>
  </conditionalFormatting>
  <conditionalFormatting sqref="C2:AZ2">
    <cfRule type="cellIs" dxfId="34" priority="12" operator="equal">
      <formula>1</formula>
    </cfRule>
  </conditionalFormatting>
  <conditionalFormatting sqref="O19:X19">
    <cfRule type="cellIs" dxfId="33" priority="13" operator="equal">
      <formula>1</formula>
    </cfRule>
  </conditionalFormatting>
  <conditionalFormatting sqref="AR21:AT32">
    <cfRule type="cellIs" dxfId="32" priority="14" operator="lessThan">
      <formula>33</formula>
    </cfRule>
  </conditionalFormatting>
  <conditionalFormatting sqref="BA21:BA32">
    <cfRule type="cellIs" dxfId="31" priority="4" operator="equal">
      <formula>2</formula>
    </cfRule>
    <cfRule type="cellIs" dxfId="30" priority="3" operator="equal">
      <formula>3</formula>
    </cfRule>
    <cfRule type="cellIs" dxfId="29" priority="2" operator="equal">
      <formula>4</formula>
    </cfRule>
    <cfRule type="cellIs" dxfId="28" priority="1" operator="equal">
      <formula>5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zoomScale="85" zoomScaleNormal="85" workbookViewId="0">
      <selection activeCell="AF21" sqref="A1:XFD1048576"/>
    </sheetView>
  </sheetViews>
  <sheetFormatPr defaultRowHeight="15" x14ac:dyDescent="0.25"/>
  <cols>
    <col min="1" max="1" width="3.140625" bestFit="1" customWidth="1"/>
    <col min="2" max="2" width="24.7109375" customWidth="1"/>
    <col min="3" max="26" width="3.7109375" bestFit="1" customWidth="1"/>
    <col min="27" max="52" width="3.5703125" bestFit="1" customWidth="1"/>
    <col min="53" max="54" width="9.5703125" bestFit="1" customWidth="1"/>
  </cols>
  <sheetData>
    <row r="1" spans="1:54" x14ac:dyDescent="0.25">
      <c r="A1" s="3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8"/>
    </row>
    <row r="2" spans="1:54" x14ac:dyDescent="0.25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25">
      <c r="A3" s="30"/>
      <c r="B3" s="30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25">
      <c r="A4" s="7">
        <v>1</v>
      </c>
      <c r="B4" s="7" t="s">
        <v>104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25">
      <c r="A5" s="7">
        <v>2</v>
      </c>
      <c r="B5" s="7" t="s">
        <v>103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25">
      <c r="A6" s="7">
        <v>3</v>
      </c>
      <c r="B6" s="7" t="s">
        <v>102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25">
      <c r="A7" s="7">
        <v>4</v>
      </c>
      <c r="B7" s="7" t="s">
        <v>101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25">
      <c r="A8" s="7">
        <v>5</v>
      </c>
      <c r="B8" s="7" t="s">
        <v>100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25">
      <c r="A9" s="7">
        <v>6</v>
      </c>
      <c r="B9" s="7" t="s">
        <v>105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25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25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25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25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25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25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25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25">
      <c r="A18" s="36" t="s">
        <v>67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O18" s="37" t="s">
        <v>68</v>
      </c>
      <c r="P18" s="27"/>
      <c r="Q18" s="27"/>
      <c r="R18" s="27"/>
      <c r="S18" s="27"/>
      <c r="T18" s="27"/>
      <c r="U18" s="27"/>
      <c r="V18" s="27"/>
      <c r="W18" s="27"/>
      <c r="X18" s="28"/>
    </row>
    <row r="19" spans="1:55" x14ac:dyDescent="0.25">
      <c r="A19" s="29" t="s">
        <v>1</v>
      </c>
      <c r="B19" s="31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7.5" x14ac:dyDescent="0.25">
      <c r="A20" s="30"/>
      <c r="B20" s="30"/>
      <c r="C20" s="14" t="s">
        <v>69</v>
      </c>
      <c r="D20" s="14" t="s">
        <v>70</v>
      </c>
      <c r="E20" s="14" t="s">
        <v>71</v>
      </c>
      <c r="F20" s="14" t="s">
        <v>72</v>
      </c>
      <c r="G20" s="14" t="s">
        <v>73</v>
      </c>
      <c r="H20" s="14" t="s">
        <v>74</v>
      </c>
      <c r="I20" s="14" t="s">
        <v>75</v>
      </c>
      <c r="J20" s="14" t="s">
        <v>76</v>
      </c>
      <c r="K20" s="15" t="s">
        <v>77</v>
      </c>
      <c r="L20" s="15" t="s">
        <v>78</v>
      </c>
      <c r="M20" s="15" t="s">
        <v>53</v>
      </c>
      <c r="N20" s="15" t="s">
        <v>54</v>
      </c>
      <c r="O20" s="6" t="s">
        <v>79</v>
      </c>
      <c r="P20" s="6" t="s">
        <v>80</v>
      </c>
      <c r="Q20" s="6" t="s">
        <v>81</v>
      </c>
      <c r="R20" s="6" t="s">
        <v>82</v>
      </c>
      <c r="S20" s="6" t="s">
        <v>83</v>
      </c>
      <c r="T20" s="6" t="s">
        <v>84</v>
      </c>
      <c r="U20" s="6" t="s">
        <v>85</v>
      </c>
      <c r="V20" s="6" t="s">
        <v>86</v>
      </c>
      <c r="W20" s="6" t="s">
        <v>87</v>
      </c>
      <c r="X20" s="6" t="s">
        <v>88</v>
      </c>
      <c r="Y20" s="6" t="s">
        <v>53</v>
      </c>
      <c r="Z20" s="6" t="s">
        <v>54</v>
      </c>
      <c r="AF20" s="34" t="s">
        <v>97</v>
      </c>
      <c r="AG20" s="27"/>
      <c r="AH20" s="28"/>
      <c r="AI20" s="34" t="s">
        <v>98</v>
      </c>
      <c r="AJ20" s="27"/>
      <c r="AK20" s="28"/>
      <c r="AL20" s="38"/>
      <c r="AM20" s="39"/>
      <c r="AN20" s="40"/>
      <c r="AO20" s="41"/>
      <c r="AP20" s="39"/>
      <c r="AQ20" s="40"/>
      <c r="AR20" s="34" t="s">
        <v>99</v>
      </c>
      <c r="AS20" s="27"/>
      <c r="AT20" s="28"/>
      <c r="AU20" s="33" t="s">
        <v>94</v>
      </c>
      <c r="AV20" s="27"/>
      <c r="AW20" s="28"/>
      <c r="AX20" s="32" t="s">
        <v>95</v>
      </c>
      <c r="AY20" s="27"/>
      <c r="AZ20" s="27"/>
      <c r="BA20" s="18" t="s">
        <v>96</v>
      </c>
    </row>
    <row r="21" spans="1:55" x14ac:dyDescent="0.25">
      <c r="A21" s="16">
        <v>1</v>
      </c>
      <c r="B21" s="7" t="s">
        <v>104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3">
        <f>ROUND((N21+BB4)/(M21+BA4)*8,0)</f>
        <v>38</v>
      </c>
      <c r="AG21" s="24"/>
      <c r="AH21" s="25"/>
      <c r="AI21" s="23">
        <f>ROUND(Z21/$Y$19*4,0)</f>
        <v>16</v>
      </c>
      <c r="AJ21" s="24"/>
      <c r="AK21" s="25"/>
      <c r="AL21" s="42"/>
      <c r="AM21" s="43"/>
      <c r="AN21" s="44"/>
      <c r="AO21" s="45"/>
      <c r="AP21" s="39"/>
      <c r="AQ21" s="40"/>
      <c r="AR21" s="23">
        <f>AF21+AI21</f>
        <v>54</v>
      </c>
      <c r="AS21" s="24"/>
      <c r="AT21" s="25"/>
      <c r="AU21" s="23">
        <v>36</v>
      </c>
      <c r="AV21" s="24"/>
      <c r="AW21" s="25"/>
      <c r="AX21" s="23">
        <f>ROUND(SUM(AR21:AW21),0)</f>
        <v>90</v>
      </c>
      <c r="AY21" s="24"/>
      <c r="AZ21" s="24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25">
      <c r="A22" s="7">
        <v>2</v>
      </c>
      <c r="B22" s="7" t="s">
        <v>103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3">
        <f t="shared" ref="AF22:AF32" si="6">ROUND((N22+BB5)/(M22+BA5)*8,0)</f>
        <v>39</v>
      </c>
      <c r="AG22" s="24"/>
      <c r="AH22" s="25"/>
      <c r="AI22" s="23">
        <f t="shared" ref="AI22:AI32" si="7">ROUND(Z22/$Y$19*4,0)</f>
        <v>16</v>
      </c>
      <c r="AJ22" s="24"/>
      <c r="AK22" s="25"/>
      <c r="AL22" s="42"/>
      <c r="AM22" s="43"/>
      <c r="AN22" s="44"/>
      <c r="AO22" s="45"/>
      <c r="AP22" s="39"/>
      <c r="AQ22" s="40"/>
      <c r="AR22" s="23">
        <f t="shared" ref="AR22:AR32" si="8">AF22+AI22</f>
        <v>55</v>
      </c>
      <c r="AS22" s="24"/>
      <c r="AT22" s="25"/>
      <c r="AU22" s="23">
        <v>38</v>
      </c>
      <c r="AV22" s="24"/>
      <c r="AW22" s="25"/>
      <c r="AX22" s="23">
        <f t="shared" ref="AX22:AX32" si="9">ROUND(SUM(AR22:AW22),0)</f>
        <v>93</v>
      </c>
      <c r="AY22" s="24"/>
      <c r="AZ22" s="24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25">
      <c r="A23" s="7">
        <v>3</v>
      </c>
      <c r="B23" s="7" t="s">
        <v>102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3">
        <f t="shared" si="6"/>
        <v>38</v>
      </c>
      <c r="AG23" s="24"/>
      <c r="AH23" s="25"/>
      <c r="AI23" s="23">
        <f t="shared" si="7"/>
        <v>16</v>
      </c>
      <c r="AJ23" s="24"/>
      <c r="AK23" s="25"/>
      <c r="AL23" s="42"/>
      <c r="AM23" s="43"/>
      <c r="AN23" s="44"/>
      <c r="AO23" s="45"/>
      <c r="AP23" s="39"/>
      <c r="AQ23" s="40"/>
      <c r="AR23" s="23">
        <f t="shared" si="8"/>
        <v>54</v>
      </c>
      <c r="AS23" s="24"/>
      <c r="AT23" s="25"/>
      <c r="AU23" s="23">
        <v>28</v>
      </c>
      <c r="AV23" s="24"/>
      <c r="AW23" s="25"/>
      <c r="AX23" s="23">
        <f t="shared" si="9"/>
        <v>82</v>
      </c>
      <c r="AY23" s="24"/>
      <c r="AZ23" s="24"/>
      <c r="BA23" s="19">
        <f t="shared" si="10"/>
        <v>4</v>
      </c>
    </row>
    <row r="24" spans="1:55" x14ac:dyDescent="0.25">
      <c r="A24" s="7">
        <v>4</v>
      </c>
      <c r="B24" s="7" t="s">
        <v>101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3">
        <f t="shared" si="6"/>
        <v>39</v>
      </c>
      <c r="AG24" s="24"/>
      <c r="AH24" s="25"/>
      <c r="AI24" s="23">
        <f t="shared" si="7"/>
        <v>17</v>
      </c>
      <c r="AJ24" s="24"/>
      <c r="AK24" s="25"/>
      <c r="AL24" s="42"/>
      <c r="AM24" s="43"/>
      <c r="AN24" s="44"/>
      <c r="AO24" s="45"/>
      <c r="AP24" s="39"/>
      <c r="AQ24" s="40"/>
      <c r="AR24" s="23">
        <f t="shared" si="8"/>
        <v>56</v>
      </c>
      <c r="AS24" s="24"/>
      <c r="AT24" s="25"/>
      <c r="AU24" s="23">
        <v>38</v>
      </c>
      <c r="AV24" s="24"/>
      <c r="AW24" s="25"/>
      <c r="AX24" s="23">
        <f t="shared" si="9"/>
        <v>94</v>
      </c>
      <c r="AY24" s="24"/>
      <c r="AZ24" s="24"/>
      <c r="BA24" s="19">
        <f t="shared" si="10"/>
        <v>5</v>
      </c>
    </row>
    <row r="25" spans="1:55" x14ac:dyDescent="0.25">
      <c r="A25" s="7">
        <v>5</v>
      </c>
      <c r="B25" s="7" t="s">
        <v>100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3">
        <f t="shared" si="6"/>
        <v>38</v>
      </c>
      <c r="AG25" s="24"/>
      <c r="AH25" s="25"/>
      <c r="AI25" s="23">
        <f t="shared" si="7"/>
        <v>15</v>
      </c>
      <c r="AJ25" s="24"/>
      <c r="AK25" s="25"/>
      <c r="AL25" s="42"/>
      <c r="AM25" s="43"/>
      <c r="AN25" s="44"/>
      <c r="AO25" s="45"/>
      <c r="AP25" s="39"/>
      <c r="AQ25" s="40"/>
      <c r="AR25" s="23">
        <f t="shared" si="8"/>
        <v>53</v>
      </c>
      <c r="AS25" s="24"/>
      <c r="AT25" s="25"/>
      <c r="AU25" s="23">
        <v>37</v>
      </c>
      <c r="AV25" s="24"/>
      <c r="AW25" s="25"/>
      <c r="AX25" s="23">
        <f t="shared" si="9"/>
        <v>90</v>
      </c>
      <c r="AY25" s="24"/>
      <c r="AZ25" s="24"/>
      <c r="BA25" s="19">
        <f t="shared" si="10"/>
        <v>5</v>
      </c>
    </row>
    <row r="26" spans="1:55" x14ac:dyDescent="0.25">
      <c r="A26" s="7">
        <v>6</v>
      </c>
      <c r="B26" s="7" t="s">
        <v>105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3">
        <f t="shared" si="6"/>
        <v>37</v>
      </c>
      <c r="AG26" s="24"/>
      <c r="AH26" s="25"/>
      <c r="AI26" s="23">
        <f t="shared" si="7"/>
        <v>16</v>
      </c>
      <c r="AJ26" s="24"/>
      <c r="AK26" s="25"/>
      <c r="AL26" s="42"/>
      <c r="AM26" s="43"/>
      <c r="AN26" s="44"/>
      <c r="AO26" s="45"/>
      <c r="AP26" s="39"/>
      <c r="AQ26" s="40"/>
      <c r="AR26" s="23">
        <f t="shared" si="8"/>
        <v>53</v>
      </c>
      <c r="AS26" s="24"/>
      <c r="AT26" s="25"/>
      <c r="AU26" s="23">
        <v>35</v>
      </c>
      <c r="AV26" s="24"/>
      <c r="AW26" s="25"/>
      <c r="AX26" s="23">
        <f t="shared" si="9"/>
        <v>88</v>
      </c>
      <c r="AY26" s="24"/>
      <c r="AZ26" s="24"/>
      <c r="BA26" s="19">
        <f t="shared" si="10"/>
        <v>5</v>
      </c>
    </row>
    <row r="27" spans="1:55" x14ac:dyDescent="0.25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3" t="e">
        <f t="shared" si="6"/>
        <v>#DIV/0!</v>
      </c>
      <c r="AG27" s="24"/>
      <c r="AH27" s="25"/>
      <c r="AI27" s="23">
        <f t="shared" si="7"/>
        <v>0</v>
      </c>
      <c r="AJ27" s="24"/>
      <c r="AK27" s="25"/>
      <c r="AL27" s="42"/>
      <c r="AM27" s="43"/>
      <c r="AN27" s="44"/>
      <c r="AO27" s="45"/>
      <c r="AP27" s="39"/>
      <c r="AQ27" s="40"/>
      <c r="AR27" s="23" t="e">
        <f t="shared" si="8"/>
        <v>#DIV/0!</v>
      </c>
      <c r="AS27" s="24"/>
      <c r="AT27" s="25"/>
      <c r="AU27" s="23"/>
      <c r="AV27" s="24"/>
      <c r="AW27" s="25"/>
      <c r="AX27" s="23" t="e">
        <f t="shared" si="9"/>
        <v>#DIV/0!</v>
      </c>
      <c r="AY27" s="24"/>
      <c r="AZ27" s="24"/>
      <c r="BA27" s="19" t="e">
        <f t="shared" si="10"/>
        <v>#DIV/0!</v>
      </c>
    </row>
    <row r="28" spans="1:55" x14ac:dyDescent="0.25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3" t="e">
        <f t="shared" si="6"/>
        <v>#DIV/0!</v>
      </c>
      <c r="AG28" s="24"/>
      <c r="AH28" s="25"/>
      <c r="AI28" s="23">
        <f t="shared" si="7"/>
        <v>0</v>
      </c>
      <c r="AJ28" s="24"/>
      <c r="AK28" s="25"/>
      <c r="AL28" s="42"/>
      <c r="AM28" s="43"/>
      <c r="AN28" s="44"/>
      <c r="AO28" s="45"/>
      <c r="AP28" s="39"/>
      <c r="AQ28" s="40"/>
      <c r="AR28" s="23" t="e">
        <f t="shared" si="8"/>
        <v>#DIV/0!</v>
      </c>
      <c r="AS28" s="24"/>
      <c r="AT28" s="25"/>
      <c r="AU28" s="23"/>
      <c r="AV28" s="24"/>
      <c r="AW28" s="25"/>
      <c r="AX28" s="23" t="e">
        <f t="shared" si="9"/>
        <v>#DIV/0!</v>
      </c>
      <c r="AY28" s="24"/>
      <c r="AZ28" s="24"/>
      <c r="BA28" s="19" t="e">
        <f t="shared" si="10"/>
        <v>#DIV/0!</v>
      </c>
    </row>
    <row r="29" spans="1:55" x14ac:dyDescent="0.25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3" t="e">
        <f t="shared" si="6"/>
        <v>#DIV/0!</v>
      </c>
      <c r="AG29" s="24"/>
      <c r="AH29" s="25"/>
      <c r="AI29" s="23">
        <f t="shared" si="7"/>
        <v>0</v>
      </c>
      <c r="AJ29" s="24"/>
      <c r="AK29" s="25"/>
      <c r="AL29" s="42"/>
      <c r="AM29" s="43"/>
      <c r="AN29" s="44"/>
      <c r="AO29" s="45"/>
      <c r="AP29" s="39"/>
      <c r="AQ29" s="40"/>
      <c r="AR29" s="23" t="e">
        <f t="shared" si="8"/>
        <v>#DIV/0!</v>
      </c>
      <c r="AS29" s="24"/>
      <c r="AT29" s="25"/>
      <c r="AU29" s="23"/>
      <c r="AV29" s="24"/>
      <c r="AW29" s="25"/>
      <c r="AX29" s="23" t="e">
        <f t="shared" si="9"/>
        <v>#DIV/0!</v>
      </c>
      <c r="AY29" s="24"/>
      <c r="AZ29" s="24"/>
      <c r="BA29" s="19" t="e">
        <f t="shared" si="10"/>
        <v>#DIV/0!</v>
      </c>
    </row>
    <row r="30" spans="1:55" x14ac:dyDescent="0.25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3" t="e">
        <f t="shared" si="6"/>
        <v>#DIV/0!</v>
      </c>
      <c r="AG30" s="24"/>
      <c r="AH30" s="25"/>
      <c r="AI30" s="23">
        <f t="shared" si="7"/>
        <v>0</v>
      </c>
      <c r="AJ30" s="24"/>
      <c r="AK30" s="25"/>
      <c r="AL30" s="42"/>
      <c r="AM30" s="43"/>
      <c r="AN30" s="44"/>
      <c r="AO30" s="45"/>
      <c r="AP30" s="39"/>
      <c r="AQ30" s="40"/>
      <c r="AR30" s="23" t="e">
        <f t="shared" si="8"/>
        <v>#DIV/0!</v>
      </c>
      <c r="AS30" s="24"/>
      <c r="AT30" s="25"/>
      <c r="AU30" s="23"/>
      <c r="AV30" s="24"/>
      <c r="AW30" s="25"/>
      <c r="AX30" s="23" t="e">
        <f t="shared" si="9"/>
        <v>#DIV/0!</v>
      </c>
      <c r="AY30" s="24"/>
      <c r="AZ30" s="24"/>
      <c r="BA30" s="19" t="e">
        <f t="shared" si="10"/>
        <v>#DIV/0!</v>
      </c>
    </row>
    <row r="31" spans="1:55" x14ac:dyDescent="0.25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3" t="e">
        <f t="shared" si="6"/>
        <v>#DIV/0!</v>
      </c>
      <c r="AG31" s="24"/>
      <c r="AH31" s="25"/>
      <c r="AI31" s="23">
        <f t="shared" si="7"/>
        <v>0</v>
      </c>
      <c r="AJ31" s="24"/>
      <c r="AK31" s="25"/>
      <c r="AL31" s="42"/>
      <c r="AM31" s="43"/>
      <c r="AN31" s="44"/>
      <c r="AO31" s="45"/>
      <c r="AP31" s="39"/>
      <c r="AQ31" s="40"/>
      <c r="AR31" s="23" t="e">
        <f t="shared" si="8"/>
        <v>#DIV/0!</v>
      </c>
      <c r="AS31" s="24"/>
      <c r="AT31" s="25"/>
      <c r="AU31" s="23"/>
      <c r="AV31" s="24"/>
      <c r="AW31" s="25"/>
      <c r="AX31" s="23" t="e">
        <f t="shared" si="9"/>
        <v>#DIV/0!</v>
      </c>
      <c r="AY31" s="24"/>
      <c r="AZ31" s="24"/>
      <c r="BA31" s="19" t="e">
        <f t="shared" si="10"/>
        <v>#DIV/0!</v>
      </c>
    </row>
    <row r="32" spans="1:55" x14ac:dyDescent="0.25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3" t="e">
        <f t="shared" si="6"/>
        <v>#DIV/0!</v>
      </c>
      <c r="AG32" s="24"/>
      <c r="AH32" s="25"/>
      <c r="AI32" s="23">
        <f t="shared" si="7"/>
        <v>0</v>
      </c>
      <c r="AJ32" s="24"/>
      <c r="AK32" s="25"/>
      <c r="AL32" s="42"/>
      <c r="AM32" s="43"/>
      <c r="AN32" s="44"/>
      <c r="AO32" s="45"/>
      <c r="AP32" s="39"/>
      <c r="AQ32" s="40"/>
      <c r="AR32" s="23" t="e">
        <f t="shared" si="8"/>
        <v>#DIV/0!</v>
      </c>
      <c r="AS32" s="24"/>
      <c r="AT32" s="25"/>
      <c r="AU32" s="23"/>
      <c r="AV32" s="24"/>
      <c r="AW32" s="25"/>
      <c r="AX32" s="23" t="e">
        <f t="shared" si="9"/>
        <v>#DIV/0!</v>
      </c>
      <c r="AY32" s="24"/>
      <c r="AZ32" s="24"/>
      <c r="BA32" s="19" t="e">
        <f t="shared" si="10"/>
        <v>#DIV/0!</v>
      </c>
    </row>
  </sheetData>
  <mergeCells count="98"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U22:AW22"/>
    <mergeCell ref="AX22:AZ22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F22:AH22"/>
    <mergeCell ref="AI22:AK22"/>
    <mergeCell ref="AL22:AN22"/>
    <mergeCell ref="AO22:AQ22"/>
    <mergeCell ref="AR22:AT22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X21:AZ21"/>
    <mergeCell ref="A1:AZ1"/>
    <mergeCell ref="A2:A3"/>
    <mergeCell ref="B2:B3"/>
    <mergeCell ref="A18:L18"/>
    <mergeCell ref="O18:X18"/>
    <mergeCell ref="A19:A20"/>
    <mergeCell ref="B19:B20"/>
    <mergeCell ref="AF20:AH20"/>
    <mergeCell ref="AI20:AK20"/>
    <mergeCell ref="AL20:AN20"/>
  </mergeCells>
  <conditionalFormatting sqref="C4:AF15">
    <cfRule type="cellIs" dxfId="27" priority="5" operator="equal">
      <formula>3</formula>
    </cfRule>
  </conditionalFormatting>
  <conditionalFormatting sqref="C4:AF15">
    <cfRule type="cellIs" dxfId="26" priority="6" operator="greaterThan">
      <formula>3</formula>
    </cfRule>
  </conditionalFormatting>
  <conditionalFormatting sqref="C4:AF15">
    <cfRule type="cellIs" dxfId="25" priority="7" operator="equal">
      <formula>0</formula>
    </cfRule>
  </conditionalFormatting>
  <conditionalFormatting sqref="C20">
    <cfRule type="cellIs" dxfId="24" priority="8" operator="equal">
      <formula>$C$19</formula>
    </cfRule>
  </conditionalFormatting>
  <conditionalFormatting sqref="C20">
    <cfRule type="cellIs" dxfId="23" priority="9" operator="equal">
      <formula>$C$19</formula>
    </cfRule>
  </conditionalFormatting>
  <conditionalFormatting sqref="C20:L20">
    <cfRule type="cellIs" dxfId="22" priority="10" operator="equal">
      <formula>1</formula>
    </cfRule>
  </conditionalFormatting>
  <conditionalFormatting sqref="C19:L19">
    <cfRule type="cellIs" dxfId="21" priority="11" operator="equal">
      <formula>1</formula>
    </cfRule>
  </conditionalFormatting>
  <conditionalFormatting sqref="C2:AZ2">
    <cfRule type="cellIs" dxfId="20" priority="12" operator="equal">
      <formula>1</formula>
    </cfRule>
  </conditionalFormatting>
  <conditionalFormatting sqref="O19:X19">
    <cfRule type="cellIs" dxfId="19" priority="13" operator="equal">
      <formula>1</formula>
    </cfRule>
  </conditionalFormatting>
  <conditionalFormatting sqref="AR21:AT32">
    <cfRule type="cellIs" dxfId="18" priority="14" operator="lessThan">
      <formula>33</formula>
    </cfRule>
  </conditionalFormatting>
  <conditionalFormatting sqref="BA21:BA32">
    <cfRule type="cellIs" dxfId="17" priority="1" operator="equal">
      <formula>5</formula>
    </cfRule>
    <cfRule type="cellIs" dxfId="16" priority="2" operator="equal">
      <formula>4</formula>
    </cfRule>
    <cfRule type="cellIs" dxfId="15" priority="3" operator="equal">
      <formula>3</formula>
    </cfRule>
    <cfRule type="cellIs" dxfId="14" priority="4" operator="equal">
      <formula>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9321-9161-4749-AAC8-F26FCE37FE0C}">
  <dimension ref="A1:BC32"/>
  <sheetViews>
    <sheetView tabSelected="1" zoomScale="85" zoomScaleNormal="85" workbookViewId="0">
      <selection activeCell="AU21" sqref="AU21:AW21"/>
    </sheetView>
  </sheetViews>
  <sheetFormatPr defaultRowHeight="15" x14ac:dyDescent="0.25"/>
  <cols>
    <col min="1" max="1" width="3.140625" bestFit="1" customWidth="1"/>
    <col min="2" max="2" width="24.7109375" customWidth="1"/>
    <col min="3" max="26" width="3.7109375" bestFit="1" customWidth="1"/>
    <col min="27" max="52" width="3.5703125" bestFit="1" customWidth="1"/>
    <col min="53" max="54" width="9.5703125" bestFit="1" customWidth="1"/>
  </cols>
  <sheetData>
    <row r="1" spans="1:54" x14ac:dyDescent="0.25">
      <c r="A1" s="3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8"/>
    </row>
    <row r="2" spans="1:54" x14ac:dyDescent="0.25">
      <c r="A2" s="29" t="s">
        <v>1</v>
      </c>
      <c r="B2" s="29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25">
      <c r="A3" s="30"/>
      <c r="B3" s="30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25">
      <c r="A4" s="7">
        <v>1</v>
      </c>
      <c r="B4" s="7" t="s">
        <v>104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25">
      <c r="A5" s="7">
        <v>2</v>
      </c>
      <c r="B5" s="7" t="s">
        <v>103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25">
      <c r="A6" s="7">
        <v>3</v>
      </c>
      <c r="B6" s="7" t="s">
        <v>102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25">
      <c r="A7" s="7">
        <v>4</v>
      </c>
      <c r="B7" s="7" t="s">
        <v>101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25">
      <c r="A8" s="7">
        <v>5</v>
      </c>
      <c r="B8" s="7" t="s">
        <v>100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25">
      <c r="A9" s="7">
        <v>6</v>
      </c>
      <c r="B9" s="7" t="s">
        <v>105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25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25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25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25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25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25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25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25">
      <c r="A18" s="36" t="s">
        <v>67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O18" s="37" t="s">
        <v>68</v>
      </c>
      <c r="P18" s="27"/>
      <c r="Q18" s="27"/>
      <c r="R18" s="27"/>
      <c r="S18" s="27"/>
      <c r="T18" s="27"/>
      <c r="U18" s="27"/>
      <c r="V18" s="27"/>
      <c r="W18" s="27"/>
      <c r="X18" s="28"/>
    </row>
    <row r="19" spans="1:55" x14ac:dyDescent="0.25">
      <c r="A19" s="29" t="s">
        <v>1</v>
      </c>
      <c r="B19" s="31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7.5" x14ac:dyDescent="0.25">
      <c r="A20" s="30"/>
      <c r="B20" s="30"/>
      <c r="C20" s="14" t="s">
        <v>69</v>
      </c>
      <c r="D20" s="14" t="s">
        <v>70</v>
      </c>
      <c r="E20" s="14" t="s">
        <v>71</v>
      </c>
      <c r="F20" s="14" t="s">
        <v>72</v>
      </c>
      <c r="G20" s="14" t="s">
        <v>73</v>
      </c>
      <c r="H20" s="14" t="s">
        <v>74</v>
      </c>
      <c r="I20" s="14" t="s">
        <v>75</v>
      </c>
      <c r="J20" s="14" t="s">
        <v>76</v>
      </c>
      <c r="K20" s="15" t="s">
        <v>77</v>
      </c>
      <c r="L20" s="15" t="s">
        <v>78</v>
      </c>
      <c r="M20" s="15" t="s">
        <v>53</v>
      </c>
      <c r="N20" s="15" t="s">
        <v>54</v>
      </c>
      <c r="O20" s="6" t="s">
        <v>79</v>
      </c>
      <c r="P20" s="6" t="s">
        <v>80</v>
      </c>
      <c r="Q20" s="6" t="s">
        <v>81</v>
      </c>
      <c r="R20" s="6" t="s">
        <v>82</v>
      </c>
      <c r="S20" s="6" t="s">
        <v>83</v>
      </c>
      <c r="T20" s="6" t="s">
        <v>84</v>
      </c>
      <c r="U20" s="6" t="s">
        <v>85</v>
      </c>
      <c r="V20" s="6" t="s">
        <v>86</v>
      </c>
      <c r="W20" s="6" t="s">
        <v>87</v>
      </c>
      <c r="X20" s="6" t="s">
        <v>88</v>
      </c>
      <c r="Y20" s="6" t="s">
        <v>53</v>
      </c>
      <c r="Z20" s="6" t="s">
        <v>54</v>
      </c>
      <c r="AF20" s="34" t="s">
        <v>107</v>
      </c>
      <c r="AG20" s="27"/>
      <c r="AH20" s="28"/>
      <c r="AI20" s="34" t="s">
        <v>106</v>
      </c>
      <c r="AJ20" s="27"/>
      <c r="AK20" s="28"/>
      <c r="AL20" s="38"/>
      <c r="AM20" s="39"/>
      <c r="AN20" s="40"/>
      <c r="AO20" s="41"/>
      <c r="AP20" s="39"/>
      <c r="AQ20" s="40"/>
      <c r="AR20" s="34" t="s">
        <v>108</v>
      </c>
      <c r="AS20" s="27"/>
      <c r="AT20" s="28"/>
      <c r="AU20" s="33" t="s">
        <v>109</v>
      </c>
      <c r="AV20" s="27"/>
      <c r="AW20" s="28"/>
      <c r="AX20" s="32" t="s">
        <v>95</v>
      </c>
      <c r="AY20" s="27"/>
      <c r="AZ20" s="27"/>
      <c r="BA20" s="18" t="s">
        <v>96</v>
      </c>
    </row>
    <row r="21" spans="1:55" x14ac:dyDescent="0.25">
      <c r="A21" s="16">
        <v>1</v>
      </c>
      <c r="B21" s="7" t="s">
        <v>104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3">
        <f>ROUND((N21+BB4)/(M21+BA4)*12,0)</f>
        <v>56</v>
      </c>
      <c r="AG21" s="24"/>
      <c r="AH21" s="25"/>
      <c r="AI21" s="23">
        <f>ROUND(Z21/$Y$19*8,0)</f>
        <v>32</v>
      </c>
      <c r="AJ21" s="24"/>
      <c r="AK21" s="25"/>
      <c r="AL21" s="42"/>
      <c r="AM21" s="43"/>
      <c r="AN21" s="44"/>
      <c r="AO21" s="45"/>
      <c r="AP21" s="39"/>
      <c r="AQ21" s="40"/>
      <c r="AR21" s="23">
        <f>AF21+AI21</f>
        <v>88</v>
      </c>
      <c r="AS21" s="24"/>
      <c r="AT21" s="25"/>
      <c r="AU21" s="23"/>
      <c r="AV21" s="24"/>
      <c r="AW21" s="25"/>
      <c r="AX21" s="23">
        <f>ROUND(SUM(AR21:AW21),0)</f>
        <v>88</v>
      </c>
      <c r="AY21" s="24"/>
      <c r="AZ21" s="24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25">
      <c r="A22" s="7">
        <v>2</v>
      </c>
      <c r="B22" s="7" t="s">
        <v>103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3">
        <f t="shared" ref="AF22:AF26" si="6">ROUND((N22+BB5)/(M22+BA5)*12,0)</f>
        <v>59</v>
      </c>
      <c r="AG22" s="24"/>
      <c r="AH22" s="25"/>
      <c r="AI22" s="23">
        <f t="shared" ref="AI22:AI26" si="7">ROUND(Z22/$Y$19*8,0)</f>
        <v>32</v>
      </c>
      <c r="AJ22" s="24"/>
      <c r="AK22" s="25"/>
      <c r="AL22" s="42"/>
      <c r="AM22" s="43"/>
      <c r="AN22" s="44"/>
      <c r="AO22" s="45"/>
      <c r="AP22" s="39"/>
      <c r="AQ22" s="40"/>
      <c r="AR22" s="23">
        <f t="shared" ref="AR22:AR32" si="8">AF22+AI22</f>
        <v>91</v>
      </c>
      <c r="AS22" s="24"/>
      <c r="AT22" s="25"/>
      <c r="AU22" s="23"/>
      <c r="AV22" s="24"/>
      <c r="AW22" s="25"/>
      <c r="AX22" s="23">
        <f t="shared" ref="AX22:AX32" si="9">ROUND(SUM(AR22:AW22),0)</f>
        <v>91</v>
      </c>
      <c r="AY22" s="24"/>
      <c r="AZ22" s="24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25">
      <c r="A23" s="7">
        <v>3</v>
      </c>
      <c r="B23" s="7" t="s">
        <v>102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3">
        <f t="shared" si="6"/>
        <v>57</v>
      </c>
      <c r="AG23" s="24"/>
      <c r="AH23" s="25"/>
      <c r="AI23" s="23">
        <f t="shared" si="7"/>
        <v>32</v>
      </c>
      <c r="AJ23" s="24"/>
      <c r="AK23" s="25"/>
      <c r="AL23" s="42"/>
      <c r="AM23" s="43"/>
      <c r="AN23" s="44"/>
      <c r="AO23" s="45"/>
      <c r="AP23" s="39"/>
      <c r="AQ23" s="40"/>
      <c r="AR23" s="23">
        <f t="shared" si="8"/>
        <v>89</v>
      </c>
      <c r="AS23" s="24"/>
      <c r="AT23" s="25"/>
      <c r="AU23" s="23"/>
      <c r="AV23" s="24"/>
      <c r="AW23" s="25"/>
      <c r="AX23" s="23">
        <f t="shared" si="9"/>
        <v>89</v>
      </c>
      <c r="AY23" s="24"/>
      <c r="AZ23" s="24"/>
      <c r="BA23" s="19">
        <f t="shared" si="10"/>
        <v>5</v>
      </c>
    </row>
    <row r="24" spans="1:55" x14ac:dyDescent="0.25">
      <c r="A24" s="7">
        <v>4</v>
      </c>
      <c r="B24" s="7" t="s">
        <v>101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3">
        <f t="shared" si="6"/>
        <v>59</v>
      </c>
      <c r="AG24" s="24"/>
      <c r="AH24" s="25"/>
      <c r="AI24" s="23">
        <f t="shared" si="7"/>
        <v>34</v>
      </c>
      <c r="AJ24" s="24"/>
      <c r="AK24" s="25"/>
      <c r="AL24" s="42"/>
      <c r="AM24" s="43"/>
      <c r="AN24" s="44"/>
      <c r="AO24" s="45"/>
      <c r="AP24" s="39"/>
      <c r="AQ24" s="40"/>
      <c r="AR24" s="23">
        <f t="shared" si="8"/>
        <v>93</v>
      </c>
      <c r="AS24" s="24"/>
      <c r="AT24" s="25"/>
      <c r="AU24" s="23"/>
      <c r="AV24" s="24"/>
      <c r="AW24" s="25"/>
      <c r="AX24" s="23">
        <f t="shared" si="9"/>
        <v>93</v>
      </c>
      <c r="AY24" s="24"/>
      <c r="AZ24" s="24"/>
      <c r="BA24" s="19">
        <f t="shared" si="10"/>
        <v>5</v>
      </c>
    </row>
    <row r="25" spans="1:55" x14ac:dyDescent="0.25">
      <c r="A25" s="7">
        <v>5</v>
      </c>
      <c r="B25" s="7" t="s">
        <v>100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3">
        <f t="shared" si="6"/>
        <v>57</v>
      </c>
      <c r="AG25" s="24"/>
      <c r="AH25" s="25"/>
      <c r="AI25" s="23">
        <f t="shared" si="7"/>
        <v>30</v>
      </c>
      <c r="AJ25" s="24"/>
      <c r="AK25" s="25"/>
      <c r="AL25" s="42"/>
      <c r="AM25" s="43"/>
      <c r="AN25" s="44"/>
      <c r="AO25" s="45"/>
      <c r="AP25" s="39"/>
      <c r="AQ25" s="40"/>
      <c r="AR25" s="23">
        <f t="shared" si="8"/>
        <v>87</v>
      </c>
      <c r="AS25" s="24"/>
      <c r="AT25" s="25"/>
      <c r="AU25" s="23"/>
      <c r="AV25" s="24"/>
      <c r="AW25" s="25"/>
      <c r="AX25" s="23">
        <f t="shared" si="9"/>
        <v>87</v>
      </c>
      <c r="AY25" s="24"/>
      <c r="AZ25" s="24"/>
      <c r="BA25" s="19">
        <f t="shared" si="10"/>
        <v>5</v>
      </c>
    </row>
    <row r="26" spans="1:55" x14ac:dyDescent="0.25">
      <c r="A26" s="7">
        <v>6</v>
      </c>
      <c r="B26" s="7" t="s">
        <v>105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3">
        <f t="shared" si="6"/>
        <v>56</v>
      </c>
      <c r="AG26" s="24"/>
      <c r="AH26" s="25"/>
      <c r="AI26" s="23">
        <f t="shared" si="7"/>
        <v>32</v>
      </c>
      <c r="AJ26" s="24"/>
      <c r="AK26" s="25"/>
      <c r="AL26" s="42"/>
      <c r="AM26" s="43"/>
      <c r="AN26" s="44"/>
      <c r="AO26" s="45"/>
      <c r="AP26" s="39"/>
      <c r="AQ26" s="40"/>
      <c r="AR26" s="23">
        <f t="shared" si="8"/>
        <v>88</v>
      </c>
      <c r="AS26" s="24"/>
      <c r="AT26" s="25"/>
      <c r="AU26" s="23"/>
      <c r="AV26" s="24"/>
      <c r="AW26" s="25"/>
      <c r="AX26" s="23">
        <f t="shared" si="9"/>
        <v>88</v>
      </c>
      <c r="AY26" s="24"/>
      <c r="AZ26" s="24"/>
      <c r="BA26" s="19">
        <f t="shared" si="10"/>
        <v>5</v>
      </c>
    </row>
    <row r="27" spans="1:55" x14ac:dyDescent="0.25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3" t="e">
        <f t="shared" ref="AF22:AF32" si="11">ROUND((N27+BB10)/(M27+BA10)*8,0)</f>
        <v>#DIV/0!</v>
      </c>
      <c r="AG27" s="24"/>
      <c r="AH27" s="25"/>
      <c r="AI27" s="23">
        <f t="shared" ref="AI22:AI32" si="12">ROUND(Z27/$Y$19*4,0)</f>
        <v>0</v>
      </c>
      <c r="AJ27" s="24"/>
      <c r="AK27" s="25"/>
      <c r="AL27" s="42"/>
      <c r="AM27" s="43"/>
      <c r="AN27" s="44"/>
      <c r="AO27" s="45"/>
      <c r="AP27" s="39"/>
      <c r="AQ27" s="40"/>
      <c r="AR27" s="23" t="e">
        <f t="shared" si="8"/>
        <v>#DIV/0!</v>
      </c>
      <c r="AS27" s="24"/>
      <c r="AT27" s="25"/>
      <c r="AU27" s="23"/>
      <c r="AV27" s="24"/>
      <c r="AW27" s="25"/>
      <c r="AX27" s="23" t="e">
        <f t="shared" si="9"/>
        <v>#DIV/0!</v>
      </c>
      <c r="AY27" s="24"/>
      <c r="AZ27" s="24"/>
      <c r="BA27" s="19" t="e">
        <f t="shared" si="10"/>
        <v>#DIV/0!</v>
      </c>
    </row>
    <row r="28" spans="1:55" x14ac:dyDescent="0.25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3" t="e">
        <f t="shared" si="11"/>
        <v>#DIV/0!</v>
      </c>
      <c r="AG28" s="24"/>
      <c r="AH28" s="25"/>
      <c r="AI28" s="23">
        <f t="shared" si="12"/>
        <v>0</v>
      </c>
      <c r="AJ28" s="24"/>
      <c r="AK28" s="25"/>
      <c r="AL28" s="42"/>
      <c r="AM28" s="43"/>
      <c r="AN28" s="44"/>
      <c r="AO28" s="45"/>
      <c r="AP28" s="39"/>
      <c r="AQ28" s="40"/>
      <c r="AR28" s="23" t="e">
        <f t="shared" si="8"/>
        <v>#DIV/0!</v>
      </c>
      <c r="AS28" s="24"/>
      <c r="AT28" s="25"/>
      <c r="AU28" s="23"/>
      <c r="AV28" s="24"/>
      <c r="AW28" s="25"/>
      <c r="AX28" s="23" t="e">
        <f t="shared" si="9"/>
        <v>#DIV/0!</v>
      </c>
      <c r="AY28" s="24"/>
      <c r="AZ28" s="24"/>
      <c r="BA28" s="19" t="e">
        <f t="shared" si="10"/>
        <v>#DIV/0!</v>
      </c>
    </row>
    <row r="29" spans="1:55" x14ac:dyDescent="0.25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3" t="e">
        <f t="shared" si="11"/>
        <v>#DIV/0!</v>
      </c>
      <c r="AG29" s="24"/>
      <c r="AH29" s="25"/>
      <c r="AI29" s="23">
        <f t="shared" si="12"/>
        <v>0</v>
      </c>
      <c r="AJ29" s="24"/>
      <c r="AK29" s="25"/>
      <c r="AL29" s="42"/>
      <c r="AM29" s="43"/>
      <c r="AN29" s="44"/>
      <c r="AO29" s="45"/>
      <c r="AP29" s="39"/>
      <c r="AQ29" s="40"/>
      <c r="AR29" s="23" t="e">
        <f t="shared" si="8"/>
        <v>#DIV/0!</v>
      </c>
      <c r="AS29" s="24"/>
      <c r="AT29" s="25"/>
      <c r="AU29" s="23"/>
      <c r="AV29" s="24"/>
      <c r="AW29" s="25"/>
      <c r="AX29" s="23" t="e">
        <f t="shared" si="9"/>
        <v>#DIV/0!</v>
      </c>
      <c r="AY29" s="24"/>
      <c r="AZ29" s="24"/>
      <c r="BA29" s="19" t="e">
        <f t="shared" si="10"/>
        <v>#DIV/0!</v>
      </c>
    </row>
    <row r="30" spans="1:55" x14ac:dyDescent="0.25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3" t="e">
        <f t="shared" si="11"/>
        <v>#DIV/0!</v>
      </c>
      <c r="AG30" s="24"/>
      <c r="AH30" s="25"/>
      <c r="AI30" s="23">
        <f t="shared" si="12"/>
        <v>0</v>
      </c>
      <c r="AJ30" s="24"/>
      <c r="AK30" s="25"/>
      <c r="AL30" s="42"/>
      <c r="AM30" s="43"/>
      <c r="AN30" s="44"/>
      <c r="AO30" s="45"/>
      <c r="AP30" s="39"/>
      <c r="AQ30" s="40"/>
      <c r="AR30" s="23" t="e">
        <f t="shared" si="8"/>
        <v>#DIV/0!</v>
      </c>
      <c r="AS30" s="24"/>
      <c r="AT30" s="25"/>
      <c r="AU30" s="23"/>
      <c r="AV30" s="24"/>
      <c r="AW30" s="25"/>
      <c r="AX30" s="23" t="e">
        <f t="shared" si="9"/>
        <v>#DIV/0!</v>
      </c>
      <c r="AY30" s="24"/>
      <c r="AZ30" s="24"/>
      <c r="BA30" s="19" t="e">
        <f t="shared" si="10"/>
        <v>#DIV/0!</v>
      </c>
    </row>
    <row r="31" spans="1:55" x14ac:dyDescent="0.25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3" t="e">
        <f t="shared" si="11"/>
        <v>#DIV/0!</v>
      </c>
      <c r="AG31" s="24"/>
      <c r="AH31" s="25"/>
      <c r="AI31" s="23">
        <f t="shared" si="12"/>
        <v>0</v>
      </c>
      <c r="AJ31" s="24"/>
      <c r="AK31" s="25"/>
      <c r="AL31" s="42"/>
      <c r="AM31" s="43"/>
      <c r="AN31" s="44"/>
      <c r="AO31" s="45"/>
      <c r="AP31" s="39"/>
      <c r="AQ31" s="40"/>
      <c r="AR31" s="23" t="e">
        <f t="shared" si="8"/>
        <v>#DIV/0!</v>
      </c>
      <c r="AS31" s="24"/>
      <c r="AT31" s="25"/>
      <c r="AU31" s="23"/>
      <c r="AV31" s="24"/>
      <c r="AW31" s="25"/>
      <c r="AX31" s="23" t="e">
        <f t="shared" si="9"/>
        <v>#DIV/0!</v>
      </c>
      <c r="AY31" s="24"/>
      <c r="AZ31" s="24"/>
      <c r="BA31" s="19" t="e">
        <f t="shared" si="10"/>
        <v>#DIV/0!</v>
      </c>
    </row>
    <row r="32" spans="1:55" x14ac:dyDescent="0.25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3" t="e">
        <f t="shared" si="11"/>
        <v>#DIV/0!</v>
      </c>
      <c r="AG32" s="24"/>
      <c r="AH32" s="25"/>
      <c r="AI32" s="23">
        <f t="shared" si="12"/>
        <v>0</v>
      </c>
      <c r="AJ32" s="24"/>
      <c r="AK32" s="25"/>
      <c r="AL32" s="42"/>
      <c r="AM32" s="43"/>
      <c r="AN32" s="44"/>
      <c r="AO32" s="45"/>
      <c r="AP32" s="39"/>
      <c r="AQ32" s="40"/>
      <c r="AR32" s="23" t="e">
        <f t="shared" si="8"/>
        <v>#DIV/0!</v>
      </c>
      <c r="AS32" s="24"/>
      <c r="AT32" s="25"/>
      <c r="AU32" s="23"/>
      <c r="AV32" s="24"/>
      <c r="AW32" s="25"/>
      <c r="AX32" s="23" t="e">
        <f t="shared" si="9"/>
        <v>#DIV/0!</v>
      </c>
      <c r="AY32" s="24"/>
      <c r="AZ32" s="24"/>
      <c r="BA32" s="19" t="e">
        <f t="shared" si="10"/>
        <v>#DIV/0!</v>
      </c>
    </row>
  </sheetData>
  <mergeCells count="98"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1:AZ1"/>
    <mergeCell ref="A2:A3"/>
    <mergeCell ref="B2:B3"/>
    <mergeCell ref="A18:L18"/>
    <mergeCell ref="O18:X18"/>
    <mergeCell ref="A19:A20"/>
    <mergeCell ref="B19:B20"/>
    <mergeCell ref="AF20:AH20"/>
    <mergeCell ref="AI20:AK20"/>
    <mergeCell ref="AL20:AN20"/>
  </mergeCells>
  <conditionalFormatting sqref="C4:AF15">
    <cfRule type="cellIs" dxfId="13" priority="5" operator="equal">
      <formula>3</formula>
    </cfRule>
  </conditionalFormatting>
  <conditionalFormatting sqref="C4:AF15">
    <cfRule type="cellIs" dxfId="12" priority="6" operator="greaterThan">
      <formula>3</formula>
    </cfRule>
  </conditionalFormatting>
  <conditionalFormatting sqref="C4:AF15">
    <cfRule type="cellIs" dxfId="11" priority="7" operator="equal">
      <formula>0</formula>
    </cfRule>
  </conditionalFormatting>
  <conditionalFormatting sqref="C20">
    <cfRule type="cellIs" dxfId="10" priority="8" operator="equal">
      <formula>$C$19</formula>
    </cfRule>
  </conditionalFormatting>
  <conditionalFormatting sqref="C20">
    <cfRule type="cellIs" dxfId="9" priority="9" operator="equal">
      <formula>$C$19</formula>
    </cfRule>
  </conditionalFormatting>
  <conditionalFormatting sqref="C20:L20">
    <cfRule type="cellIs" dxfId="8" priority="10" operator="equal">
      <formula>1</formula>
    </cfRule>
  </conditionalFormatting>
  <conditionalFormatting sqref="C19:L19">
    <cfRule type="cellIs" dxfId="7" priority="11" operator="equal">
      <formula>1</formula>
    </cfRule>
  </conditionalFormatting>
  <conditionalFormatting sqref="C2:AZ2">
    <cfRule type="cellIs" dxfId="6" priority="12" operator="equal">
      <formula>1</formula>
    </cfRule>
  </conditionalFormatting>
  <conditionalFormatting sqref="O19:X19">
    <cfRule type="cellIs" dxfId="5" priority="13" operator="equal">
      <formula>1</formula>
    </cfRule>
  </conditionalFormatting>
  <conditionalFormatting sqref="AR21:AT32">
    <cfRule type="cellIs" dxfId="4" priority="14" operator="lessThan">
      <formula>33</formula>
    </cfRule>
  </conditionalFormatting>
  <conditionalFormatting sqref="BA21:BA32">
    <cfRule type="cellIs" dxfId="3" priority="1" operator="equal">
      <formula>5</formula>
    </cfRule>
    <cfRule type="cellIs" dxfId="2" priority="2" operator="equal">
      <formula>4</formula>
    </cfRule>
    <cfRule type="cellIs" dxfId="1" priority="3" operator="equal">
      <formula>3</formula>
    </cfRule>
    <cfRule type="cellIs" dxfId="0" priority="4" operator="equal">
      <formula>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JN+ON+YN</vt:lpstr>
      <vt:lpstr>JN+YN</vt:lpstr>
      <vt:lpstr>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BAHODIR</dc:creator>
  <cp:lastModifiedBy>User</cp:lastModifiedBy>
  <dcterms:created xsi:type="dcterms:W3CDTF">2015-06-05T18:19:34Z</dcterms:created>
  <dcterms:modified xsi:type="dcterms:W3CDTF">2025-12-03T06:55:35Z</dcterms:modified>
</cp:coreProperties>
</file>