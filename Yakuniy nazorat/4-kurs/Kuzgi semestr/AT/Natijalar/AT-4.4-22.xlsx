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5-2026\Git\Yakuniy nazorat\4-kurs\AT\Natijalar\"/>
    </mc:Choice>
  </mc:AlternateContent>
  <xr:revisionPtr revIDLastSave="0" documentId="13_ncr:1_{68B9C8F6-DAAC-415D-9E12-8AFE075A47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N+ON+YN" sheetId="1" r:id="rId1"/>
    <sheet name="JN+YN" sheetId="5" r:id="rId2"/>
    <sheet name="J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2" i="6" l="1"/>
  <c r="Y32" i="6"/>
  <c r="N32" i="6"/>
  <c r="M32" i="6"/>
  <c r="Z31" i="6"/>
  <c r="Y31" i="6"/>
  <c r="N31" i="6"/>
  <c r="M31" i="6"/>
  <c r="Z30" i="6"/>
  <c r="Y30" i="6"/>
  <c r="N30" i="6"/>
  <c r="M30" i="6"/>
  <c r="Z29" i="6"/>
  <c r="Y29" i="6"/>
  <c r="N29" i="6"/>
  <c r="M29" i="6"/>
  <c r="Z28" i="6"/>
  <c r="Y28" i="6"/>
  <c r="N28" i="6"/>
  <c r="M28" i="6"/>
  <c r="AF28" i="6" s="1"/>
  <c r="Z27" i="6"/>
  <c r="Y27" i="6"/>
  <c r="N27" i="6"/>
  <c r="M27" i="6"/>
  <c r="Z26" i="6"/>
  <c r="Y26" i="6"/>
  <c r="N26" i="6"/>
  <c r="M26" i="6"/>
  <c r="Z25" i="6"/>
  <c r="Y25" i="6"/>
  <c r="N25" i="6"/>
  <c r="M25" i="6"/>
  <c r="Z24" i="6"/>
  <c r="Y24" i="6"/>
  <c r="N24" i="6"/>
  <c r="M24" i="6"/>
  <c r="Z23" i="6"/>
  <c r="Y23" i="6"/>
  <c r="N23" i="6"/>
  <c r="M23" i="6"/>
  <c r="Z22" i="6"/>
  <c r="Y22" i="6"/>
  <c r="N22" i="6"/>
  <c r="M22" i="6"/>
  <c r="Z21" i="6"/>
  <c r="Y21" i="6"/>
  <c r="N21" i="6"/>
  <c r="M21" i="6"/>
  <c r="Y19" i="6"/>
  <c r="AI30" i="6" s="1"/>
  <c r="M19" i="6"/>
  <c r="BB15" i="6"/>
  <c r="BA15" i="6"/>
  <c r="BB14" i="6"/>
  <c r="BA14" i="6"/>
  <c r="BB13" i="6"/>
  <c r="BA13" i="6"/>
  <c r="BB12" i="6"/>
  <c r="BA12" i="6"/>
  <c r="BB11" i="6"/>
  <c r="BA11" i="6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AF21" i="6" s="1"/>
  <c r="BA4" i="6"/>
  <c r="BB2" i="6"/>
  <c r="AF23" i="6" l="1"/>
  <c r="AI21" i="6"/>
  <c r="AF25" i="6"/>
  <c r="AF26" i="6"/>
  <c r="AR26" i="6" s="1"/>
  <c r="AX26" i="6" s="1"/>
  <c r="AI22" i="6"/>
  <c r="AI23" i="6"/>
  <c r="AR23" i="6" s="1"/>
  <c r="AX23" i="6" s="1"/>
  <c r="AF24" i="6"/>
  <c r="AI25" i="6"/>
  <c r="AR25" i="6" s="1"/>
  <c r="AX25" i="6" s="1"/>
  <c r="AF32" i="6"/>
  <c r="AR32" i="6" s="1"/>
  <c r="AX32" i="6" s="1"/>
  <c r="BA32" i="6" s="1"/>
  <c r="AF22" i="6"/>
  <c r="AR22" i="6" s="1"/>
  <c r="AX22" i="6" s="1"/>
  <c r="BA22" i="6" s="1"/>
  <c r="AI24" i="6"/>
  <c r="AI26" i="6"/>
  <c r="AF31" i="6"/>
  <c r="AI31" i="6"/>
  <c r="AI32" i="6"/>
  <c r="AF27" i="6"/>
  <c r="AI27" i="6"/>
  <c r="AR27" i="6" s="1"/>
  <c r="AX27" i="6" s="1"/>
  <c r="BA27" i="6" s="1"/>
  <c r="AI28" i="6"/>
  <c r="AR28" i="6" s="1"/>
  <c r="AX28" i="6" s="1"/>
  <c r="BA28" i="6" s="1"/>
  <c r="AF29" i="6"/>
  <c r="AI29" i="6"/>
  <c r="AF30" i="6"/>
  <c r="AR30" i="6"/>
  <c r="AX30" i="6"/>
  <c r="BA30" i="6" s="1"/>
  <c r="AR21" i="6"/>
  <c r="AX21" i="6" s="1"/>
  <c r="BA21" i="6" s="1"/>
  <c r="AR24" i="6"/>
  <c r="AX24" i="6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6" i="6" l="1"/>
  <c r="AR29" i="6"/>
  <c r="AX29" i="6" s="1"/>
  <c r="BA29" i="6" s="1"/>
  <c r="AR31" i="6"/>
  <c r="AX31" i="6" s="1"/>
  <c r="BA31" i="6" s="1"/>
  <c r="BA23" i="6"/>
  <c r="BA24" i="6"/>
  <c r="BA25" i="6"/>
  <c r="AI21" i="5"/>
  <c r="AI29" i="5"/>
  <c r="AI30" i="5"/>
  <c r="AR30" i="5" s="1"/>
  <c r="AX30" i="5" s="1"/>
  <c r="BA30" i="5" s="1"/>
  <c r="AI32" i="5"/>
  <c r="AF23" i="5"/>
  <c r="AF27" i="5"/>
  <c r="AI23" i="5"/>
  <c r="AI27" i="5"/>
  <c r="AI31" i="5"/>
  <c r="AF24" i="5"/>
  <c r="AF28" i="5"/>
  <c r="AF32" i="5"/>
  <c r="AI24" i="5"/>
  <c r="AI28" i="5"/>
  <c r="AF21" i="5"/>
  <c r="AF25" i="5"/>
  <c r="AF29" i="5"/>
  <c r="AI25" i="5"/>
  <c r="AF22" i="5"/>
  <c r="AF26" i="5"/>
  <c r="AF30" i="5"/>
  <c r="AF31" i="5"/>
  <c r="AI22" i="5"/>
  <c r="AI26" i="5"/>
  <c r="Z32" i="1"/>
  <c r="Y32" i="1"/>
  <c r="N32" i="1"/>
  <c r="M32" i="1"/>
  <c r="Z31" i="1"/>
  <c r="Y31" i="1"/>
  <c r="N31" i="1"/>
  <c r="M31" i="1"/>
  <c r="Z30" i="1"/>
  <c r="Y30" i="1"/>
  <c r="N30" i="1"/>
  <c r="M30" i="1"/>
  <c r="Z29" i="1"/>
  <c r="Y29" i="1"/>
  <c r="N29" i="1"/>
  <c r="M29" i="1"/>
  <c r="Z28" i="1"/>
  <c r="Y28" i="1"/>
  <c r="N28" i="1"/>
  <c r="M28" i="1"/>
  <c r="Z27" i="1"/>
  <c r="Y27" i="1"/>
  <c r="N27" i="1"/>
  <c r="M27" i="1"/>
  <c r="Z26" i="1"/>
  <c r="Y26" i="1"/>
  <c r="N26" i="1"/>
  <c r="M26" i="1"/>
  <c r="Z25" i="1"/>
  <c r="Y25" i="1"/>
  <c r="N25" i="1"/>
  <c r="M25" i="1"/>
  <c r="Z24" i="1"/>
  <c r="Y24" i="1"/>
  <c r="N24" i="1"/>
  <c r="M24" i="1"/>
  <c r="Z23" i="1"/>
  <c r="Y23" i="1"/>
  <c r="N23" i="1"/>
  <c r="M23" i="1"/>
  <c r="Z22" i="1"/>
  <c r="Y22" i="1"/>
  <c r="N22" i="1"/>
  <c r="M22" i="1"/>
  <c r="Z21" i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R28" i="5" l="1"/>
  <c r="AX28" i="5" s="1"/>
  <c r="BA28" i="5" s="1"/>
  <c r="AI30" i="1"/>
  <c r="AI23" i="1"/>
  <c r="AI25" i="1"/>
  <c r="AI29" i="1"/>
  <c r="AI22" i="1"/>
  <c r="AF30" i="1"/>
  <c r="AR32" i="5"/>
  <c r="AX32" i="5"/>
  <c r="BA32" i="5" s="1"/>
  <c r="AF22" i="1"/>
  <c r="AL22" i="1" s="1"/>
  <c r="AR22" i="1" s="1"/>
  <c r="AX22" i="1" s="1"/>
  <c r="BA22" i="1" s="1"/>
  <c r="AI26" i="1"/>
  <c r="AI21" i="1"/>
  <c r="AR21" i="5"/>
  <c r="AR29" i="5"/>
  <c r="AX29" i="5" s="1"/>
  <c r="BA29" i="5" s="1"/>
  <c r="AR31" i="5"/>
  <c r="AX31" i="5" s="1"/>
  <c r="BA31" i="5" s="1"/>
  <c r="AR27" i="5"/>
  <c r="AX27" i="5"/>
  <c r="BA27" i="5" s="1"/>
  <c r="AR23" i="5"/>
  <c r="AX23" i="5"/>
  <c r="BA23" i="5"/>
  <c r="AR26" i="5"/>
  <c r="AX26" i="5" s="1"/>
  <c r="AR25" i="5"/>
  <c r="AX25" i="5"/>
  <c r="AR24" i="5"/>
  <c r="AX24" i="5" s="1"/>
  <c r="BA24" i="5" s="1"/>
  <c r="AR22" i="5"/>
  <c r="AX22" i="5" s="1"/>
  <c r="AF25" i="1"/>
  <c r="AF29" i="1"/>
  <c r="AF23" i="1"/>
  <c r="AL23" i="1" s="1"/>
  <c r="AR23" i="1" s="1"/>
  <c r="AX23" i="1" s="1"/>
  <c r="BA23" i="1" s="1"/>
  <c r="AF27" i="1"/>
  <c r="AF31" i="1"/>
  <c r="AL31" i="1" s="1"/>
  <c r="AR31" i="1" s="1"/>
  <c r="AX31" i="1" s="1"/>
  <c r="BA31" i="1" s="1"/>
  <c r="AI27" i="1"/>
  <c r="AI31" i="1"/>
  <c r="AF26" i="1"/>
  <c r="AF24" i="1"/>
  <c r="AF28" i="1"/>
  <c r="AF32" i="1"/>
  <c r="AL32" i="1" s="1"/>
  <c r="AR32" i="1" s="1"/>
  <c r="AX32" i="1" s="1"/>
  <c r="BA32" i="1" s="1"/>
  <c r="AI24" i="1"/>
  <c r="AI28" i="1"/>
  <c r="AI32" i="1"/>
  <c r="AF21" i="1"/>
  <c r="AL21" i="1" s="1"/>
  <c r="AR21" i="1" s="1"/>
  <c r="AX21" i="1" s="1"/>
  <c r="BA21" i="1" s="1"/>
  <c r="AL30" i="1"/>
  <c r="AR30" i="1" s="1"/>
  <c r="AX30" i="1" s="1"/>
  <c r="BA30" i="1" s="1"/>
  <c r="AL29" i="1" l="1"/>
  <c r="AR29" i="1" s="1"/>
  <c r="AX29" i="1" s="1"/>
  <c r="AL25" i="1"/>
  <c r="AR25" i="1" s="1"/>
  <c r="AX25" i="1" s="1"/>
  <c r="AL28" i="1"/>
  <c r="AR28" i="1" s="1"/>
  <c r="AX28" i="1" s="1"/>
  <c r="BA28" i="1" s="1"/>
  <c r="BA29" i="1"/>
  <c r="AL27" i="1"/>
  <c r="AR27" i="1" s="1"/>
  <c r="AX27" i="1" s="1"/>
  <c r="BA27" i="1" s="1"/>
  <c r="AL26" i="1"/>
  <c r="AR26" i="1" s="1"/>
  <c r="AX26" i="1" s="1"/>
  <c r="BA26" i="1" s="1"/>
  <c r="AL24" i="1"/>
  <c r="AR24" i="1" s="1"/>
  <c r="AX24" i="1" s="1"/>
  <c r="BA24" i="1" s="1"/>
  <c r="BA25" i="1"/>
  <c r="AX21" i="5"/>
  <c r="BA21" i="5"/>
  <c r="BA26" i="5"/>
  <c r="BA25" i="5"/>
  <c r="BA22" i="5"/>
</calcChain>
</file>

<file path=xl/sharedStrings.xml><?xml version="1.0" encoding="utf-8"?>
<sst xmlns="http://schemas.openxmlformats.org/spreadsheetml/2006/main" count="311" uniqueCount="107">
  <si>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</si>
  <si>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</si>
  <si>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</si>
  <si>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</si>
  <si>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</si>
  <si>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</si>
  <si>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</si>
  <si>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</si>
  <si>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</si>
  <si>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</si>
  <si>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</si>
  <si>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</si>
  <si>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</si>
  <si>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</si>
  <si>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</si>
  <si>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</si>
  <si>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</si>
  <si>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</si>
  <si>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</si>
  <si>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</si>
  <si>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</si>
  <si>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</si>
  <si>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</si>
  <si>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</si>
  <si>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</si>
  <si>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</si>
  <si>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</si>
  <si>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</si>
  <si>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</si>
  <si>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</si>
  <si>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</si>
  <si>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</si>
  <si>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</si>
  <si>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</si>
  <si>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</si>
  <si>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</si>
  <si>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</si>
  <si>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</si>
  <si>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</si>
  <si>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</si>
  <si>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</si>
  <si>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</si>
  <si>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</si>
  <si>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</si>
  <si>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</si>
  <si>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</si>
  <si>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</si>
  <si>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</si>
  <si>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</si>
  <si>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</si>
  <si>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</si>
  <si>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</si>
  <si>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</si>
  <si>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</si>
  <si>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</si>
  <si>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Abdujaborov A</t>
  </si>
  <si>
    <t>Abdumajitov M</t>
  </si>
  <si>
    <t>Bahriddinov B</t>
  </si>
  <si>
    <t>Muxtorov O</t>
  </si>
  <si>
    <t>Saidnazarov Sh</t>
  </si>
  <si>
    <t>Turdiboyev M</t>
  </si>
  <si>
    <t>Xolmurodov A</t>
  </si>
  <si>
    <t>O'razaliyev D</t>
  </si>
  <si>
    <t>O'zbekov N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</si>
  <si>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</si>
  <si>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</si>
  <si>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</si>
  <si>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</si>
  <si>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</si>
  <si>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</si>
  <si>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</si>
  <si>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</si>
  <si>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</si>
  <si>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</si>
  <si>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</si>
  <si>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</si>
  <si>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</si>
  <si>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</si>
  <si>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</si>
  <si>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</si>
  <si>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</si>
  <si>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</si>
  <si>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</si>
  <si>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</si>
  <si>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</si>
  <si>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</si>
  <si>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</si>
  <si>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</si>
  <si>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</si>
  <si>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</si>
  <si>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</si>
  <si>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</si>
  <si>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</si>
  <si>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</si>
  <si>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Baxtiyorov Mehroj</t>
  </si>
  <si>
    <t>Ibroximov Valijon</t>
  </si>
  <si>
    <t>Otajonov Sardor</t>
  </si>
  <si>
    <t>Qo‘chqarov Hamdambek</t>
  </si>
  <si>
    <t>Quvvatullayev Og‘abek</t>
  </si>
  <si>
    <t>Temirov Farhod</t>
  </si>
  <si>
    <t>Mashg'ulot umumiy bali             (40 ball)</t>
  </si>
  <si>
    <t>Mustaqil ish  ta'lim (20 ball)</t>
  </si>
  <si>
    <t>Joriy nazorat     (60 ball)</t>
  </si>
  <si>
    <t>Mashg'ulot umumiy bali             (60 ball)</t>
  </si>
  <si>
    <t>Mustaqil ish  ta'lim (40 ball)</t>
  </si>
  <si>
    <t>Joriy nazorat     (100 ball)</t>
  </si>
  <si>
    <t>Yakuniy nazorat     (-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</si>
</sst>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0" fillId="0" borderId="0" xfId="0" applyFont="1"/>
    <xf numFmtId="0" fontId="3" fillId="3" borderId="3" xfId="0" applyFont="1" applyFill="1" applyBorder="1" applyAlignment="1">
      <alignment horizontal="center" textRotation="90" wrapText="1"/>
    </xf>
    <xf numFmtId="0" fontId="3" fillId="3" borderId="6" xfId="0" applyFont="1" applyFill="1" applyBorder="1" applyAlignment="1">
      <alignment horizontal="center" textRotation="90" wrapText="1"/>
    </xf>
    <xf numFmtId="0" fontId="4" fillId="4" borderId="6" xfId="0" applyFont="1" applyFill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textRotation="90" wrapText="1"/>
    </xf>
    <xf numFmtId="0" fontId="5" fillId="5" borderId="6" xfId="0" applyFont="1" applyFill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0" fillId="0" borderId="0" xfId="0" applyFont="1" applyFill="1" applyAlignment="1"/>
    <xf numFmtId="0" fontId="0" fillId="0" borderId="0" xfId="0" applyFont="1" applyFill="1"/>
    <xf numFmtId="0" fontId="1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textRotation="90"/>
    </xf>
    <xf numFmtId="0" fontId="4" fillId="4" borderId="6" xfId="0" applyFont="1" applyFill="1" applyBorder="1" applyAlignment="1">
      <alignment textRotation="90"/>
    </xf>
    <xf numFmtId="0" fontId="0" fillId="11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wrapText="1"/>
    </xf>
    <xf numFmtId="0" fontId="7" fillId="0" borderId="7" xfId="0" applyFont="1" applyBorder="1" applyAlignment="1">
      <alignment horizontal="center" vertical="center"/>
    </xf>
    <xf numFmtId="2" fontId="0" fillId="0" borderId="0" xfId="0" applyNumberFormat="1" applyFont="1" applyAlignment="1"/>
    <xf numFmtId="0" fontId="8" fillId="0" borderId="6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3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</dxfs>
  <tableStyles count="0" defaultTableStyle="TableStyleMedium2" defaultPivotStyle="PivotStyleLight16"/>
  <colors>
    <mruColors>
      <color rgb="FFF77D7D"/>
      <color rgb="FF00CC66"/>
      <color rgb="FF009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212725</xdr:colOff>
      <xdr:row>33</xdr:row>
      <xdr:rowOff>134620</xdr:rowOff>
    </xdr:from>
    <xdr:to>
      <xdr:col>54</xdr:col>
      <xdr:colOff>142875</xdr:colOff>
      <xdr:row>36</xdr:row>
      <xdr:rowOff>76200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61875" y="7602220"/>
          <a:ext cx="2330450" cy="48450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145415</xdr:colOff>
      <xdr:row>33</xdr:row>
      <xdr:rowOff>89535</xdr:rowOff>
    </xdr:from>
    <xdr:to>
      <xdr:col>54</xdr:col>
      <xdr:colOff>0</xdr:colOff>
      <xdr:row>36</xdr:row>
      <xdr:rowOff>11430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539384" y="7888942"/>
          <a:ext cx="2308412" cy="4930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145415</xdr:colOff>
      <xdr:row>33</xdr:row>
      <xdr:rowOff>89535</xdr:rowOff>
    </xdr:from>
    <xdr:to>
      <xdr:col>54</xdr:col>
      <xdr:colOff>0</xdr:colOff>
      <xdr:row>36</xdr:row>
      <xdr:rowOff>11430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947277" y="7909673"/>
          <a:ext cx="2321299" cy="4930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zoomScaleNormal="100" workbookViewId="0">
      <selection activeCell="BC29" sqref="BC29"/>
    </sheetView>
  </sheetViews>
  <sheetFormatPr defaultColWidth="14.42578125" defaultRowHeight="15" customHeight="1" x14ac:dyDescent="0.25"/>
  <cols>
    <col min="1" max="1" width="3.140625" customWidth="1"/>
    <col min="2" max="2" width="23.28515625" customWidth="1"/>
    <col min="3" max="24" width="3.5703125" customWidth="1"/>
    <col min="25" max="25" width="3.42578125" customWidth="1"/>
    <col min="26" max="26" width="3.85546875" customWidth="1"/>
    <col min="27" max="52" width="3.5703125" customWidth="1"/>
    <col min="53" max="53" width="8.28515625" customWidth="1"/>
    <col min="54" max="54" width="6.28515625" customWidth="1"/>
    <col min="55" max="55" width="4.7109375" customWidth="1"/>
  </cols>
  <sheetData>
    <row r="1" spans="1:54" ht="14.25" customHeight="1" x14ac:dyDescent="0.25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ht="14.25" customHeight="1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BB2" s="1">
        <f>COUNTIF(C2:AZ2,1)</f>
        <v>30</v>
      </c>
    </row>
    <row r="3" spans="1:54" ht="69.75" customHeight="1" x14ac:dyDescent="0.25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5" t="s">
        <v>54</v>
      </c>
    </row>
    <row r="4" spans="1:54" ht="14.25" customHeight="1" x14ac:dyDescent="0.25">
      <c r="A4" s="6">
        <v>1</v>
      </c>
      <c r="B4" s="6" t="s">
        <v>55</v>
      </c>
      <c r="C4" s="7">
        <v>5</v>
      </c>
      <c r="D4" s="7">
        <v>3</v>
      </c>
      <c r="E4" s="7"/>
      <c r="F4" s="7">
        <v>5</v>
      </c>
      <c r="G4" s="7"/>
      <c r="H4" s="7">
        <v>5</v>
      </c>
      <c r="I4" s="7">
        <v>4</v>
      </c>
      <c r="J4" s="7">
        <v>4</v>
      </c>
      <c r="K4" s="7">
        <v>5</v>
      </c>
      <c r="L4" s="7"/>
      <c r="M4" s="8">
        <v>4</v>
      </c>
      <c r="N4" s="8"/>
      <c r="O4" s="8">
        <v>4</v>
      </c>
      <c r="P4" s="8">
        <v>4</v>
      </c>
      <c r="Q4" s="19">
        <v>3</v>
      </c>
      <c r="R4" s="8">
        <v>3</v>
      </c>
      <c r="S4" s="8"/>
      <c r="T4" s="8">
        <v>4</v>
      </c>
      <c r="U4" s="8">
        <v>5</v>
      </c>
      <c r="V4" s="8">
        <v>4</v>
      </c>
      <c r="W4" s="8">
        <v>4</v>
      </c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16</v>
      </c>
      <c r="BB4" s="9">
        <f t="shared" ref="BB4:BB15" si="1">SUM(C4:AZ4)</f>
        <v>66</v>
      </c>
    </row>
    <row r="5" spans="1:54" ht="14.25" customHeight="1" x14ac:dyDescent="0.25">
      <c r="A5" s="6">
        <v>2</v>
      </c>
      <c r="B5" s="6" t="s">
        <v>56</v>
      </c>
      <c r="C5" s="7">
        <v>5</v>
      </c>
      <c r="D5" s="7">
        <v>5</v>
      </c>
      <c r="E5" s="7"/>
      <c r="F5" s="7">
        <v>5</v>
      </c>
      <c r="G5" s="7"/>
      <c r="H5" s="7">
        <v>4</v>
      </c>
      <c r="I5" s="7">
        <v>4</v>
      </c>
      <c r="J5" s="7">
        <v>5</v>
      </c>
      <c r="K5" s="7">
        <v>5</v>
      </c>
      <c r="L5" s="7"/>
      <c r="M5" s="8">
        <v>4</v>
      </c>
      <c r="N5" s="8"/>
      <c r="O5" s="8">
        <v>4</v>
      </c>
      <c r="P5" s="8">
        <v>4</v>
      </c>
      <c r="Q5" s="8">
        <v>4</v>
      </c>
      <c r="R5" s="8">
        <v>4</v>
      </c>
      <c r="S5" s="8">
        <v>4</v>
      </c>
      <c r="T5" s="8">
        <v>5</v>
      </c>
      <c r="U5" s="8">
        <v>5</v>
      </c>
      <c r="V5" s="8">
        <v>4</v>
      </c>
      <c r="W5" s="8">
        <v>3</v>
      </c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17</v>
      </c>
      <c r="BB5" s="9">
        <f t="shared" si="1"/>
        <v>74</v>
      </c>
    </row>
    <row r="6" spans="1:54" ht="14.25" customHeight="1" x14ac:dyDescent="0.25">
      <c r="A6" s="6">
        <v>3</v>
      </c>
      <c r="B6" s="6" t="s">
        <v>57</v>
      </c>
      <c r="C6" s="7">
        <v>4</v>
      </c>
      <c r="D6" s="7">
        <v>3</v>
      </c>
      <c r="E6" s="7">
        <v>4</v>
      </c>
      <c r="F6" s="7">
        <v>4</v>
      </c>
      <c r="G6" s="7"/>
      <c r="H6" s="7">
        <v>3</v>
      </c>
      <c r="I6" s="7">
        <v>4</v>
      </c>
      <c r="J6" s="7"/>
      <c r="K6" s="7">
        <v>4</v>
      </c>
      <c r="L6" s="7">
        <v>5</v>
      </c>
      <c r="M6" s="19">
        <v>4</v>
      </c>
      <c r="N6" s="8">
        <v>4</v>
      </c>
      <c r="O6" s="8"/>
      <c r="P6" s="8">
        <v>4</v>
      </c>
      <c r="Q6" s="8">
        <v>3</v>
      </c>
      <c r="R6" s="8">
        <v>3</v>
      </c>
      <c r="S6" s="8"/>
      <c r="T6" s="8">
        <v>4</v>
      </c>
      <c r="U6" s="8">
        <v>5</v>
      </c>
      <c r="V6" s="8">
        <v>4</v>
      </c>
      <c r="W6" s="8">
        <v>4</v>
      </c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17</v>
      </c>
      <c r="BB6" s="9">
        <f t="shared" si="1"/>
        <v>66</v>
      </c>
    </row>
    <row r="7" spans="1:54" ht="14.25" customHeight="1" x14ac:dyDescent="0.25">
      <c r="A7" s="6">
        <v>4</v>
      </c>
      <c r="B7" s="6" t="s">
        <v>58</v>
      </c>
      <c r="C7" s="7">
        <v>4</v>
      </c>
      <c r="D7" s="7">
        <v>3</v>
      </c>
      <c r="E7" s="7"/>
      <c r="F7" s="7">
        <v>4</v>
      </c>
      <c r="G7" s="7">
        <v>3</v>
      </c>
      <c r="H7" s="7">
        <v>4</v>
      </c>
      <c r="I7" s="7">
        <v>4</v>
      </c>
      <c r="J7" s="7"/>
      <c r="K7" s="7">
        <v>5</v>
      </c>
      <c r="L7" s="7">
        <v>5</v>
      </c>
      <c r="M7" s="8">
        <v>4</v>
      </c>
      <c r="N7" s="8"/>
      <c r="O7" s="8"/>
      <c r="P7" s="8">
        <v>4</v>
      </c>
      <c r="Q7" s="8">
        <v>3</v>
      </c>
      <c r="R7" s="8">
        <v>3</v>
      </c>
      <c r="S7" s="8">
        <v>3</v>
      </c>
      <c r="T7" s="8">
        <v>4</v>
      </c>
      <c r="U7" s="8">
        <v>5</v>
      </c>
      <c r="V7" s="8">
        <v>4</v>
      </c>
      <c r="W7" s="8">
        <v>4</v>
      </c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17</v>
      </c>
      <c r="BB7" s="9">
        <f t="shared" si="1"/>
        <v>66</v>
      </c>
    </row>
    <row r="8" spans="1:54" ht="14.25" customHeight="1" x14ac:dyDescent="0.25">
      <c r="A8" s="6">
        <v>5</v>
      </c>
      <c r="B8" s="6" t="s">
        <v>59</v>
      </c>
      <c r="C8" s="7">
        <v>5</v>
      </c>
      <c r="D8" s="7">
        <v>5</v>
      </c>
      <c r="E8" s="7"/>
      <c r="F8" s="7">
        <v>5</v>
      </c>
      <c r="G8" s="7">
        <v>4</v>
      </c>
      <c r="H8" s="7">
        <v>5</v>
      </c>
      <c r="I8" s="7">
        <v>4</v>
      </c>
      <c r="J8" s="7">
        <v>5</v>
      </c>
      <c r="K8" s="7">
        <v>5</v>
      </c>
      <c r="L8" s="7">
        <v>4</v>
      </c>
      <c r="M8" s="8">
        <v>4</v>
      </c>
      <c r="N8" s="8"/>
      <c r="O8" s="19">
        <v>5</v>
      </c>
      <c r="P8" s="8">
        <v>4</v>
      </c>
      <c r="Q8" s="8">
        <v>4</v>
      </c>
      <c r="R8" s="8">
        <v>3</v>
      </c>
      <c r="S8" s="8">
        <v>4</v>
      </c>
      <c r="T8" s="8">
        <v>5</v>
      </c>
      <c r="U8" s="8">
        <v>5</v>
      </c>
      <c r="V8" s="8">
        <v>5</v>
      </c>
      <c r="W8" s="8">
        <v>5</v>
      </c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19</v>
      </c>
      <c r="BB8" s="9">
        <f t="shared" si="1"/>
        <v>86</v>
      </c>
    </row>
    <row r="9" spans="1:54" ht="14.25" customHeight="1" x14ac:dyDescent="0.25">
      <c r="A9" s="6">
        <v>6</v>
      </c>
      <c r="B9" s="6" t="s">
        <v>60</v>
      </c>
      <c r="C9" s="7">
        <v>4</v>
      </c>
      <c r="D9" s="7">
        <v>3</v>
      </c>
      <c r="E9" s="7">
        <v>4</v>
      </c>
      <c r="F9" s="7">
        <v>5</v>
      </c>
      <c r="G9" s="7">
        <v>5</v>
      </c>
      <c r="H9" s="7">
        <v>4</v>
      </c>
      <c r="I9" s="7">
        <v>3</v>
      </c>
      <c r="J9" s="7"/>
      <c r="K9" s="7">
        <v>4</v>
      </c>
      <c r="L9" s="7"/>
      <c r="M9" s="8">
        <v>3</v>
      </c>
      <c r="N9" s="8"/>
      <c r="O9" s="8"/>
      <c r="P9" s="8">
        <v>4</v>
      </c>
      <c r="Q9" s="19">
        <v>4</v>
      </c>
      <c r="R9" s="8">
        <v>3</v>
      </c>
      <c r="S9" s="8">
        <v>5</v>
      </c>
      <c r="T9" s="8">
        <v>5</v>
      </c>
      <c r="U9" s="8">
        <v>5</v>
      </c>
      <c r="V9" s="8">
        <v>4</v>
      </c>
      <c r="W9" s="8">
        <v>4</v>
      </c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17</v>
      </c>
      <c r="BB9" s="9">
        <f t="shared" si="1"/>
        <v>69</v>
      </c>
    </row>
    <row r="10" spans="1:54" ht="14.25" customHeight="1" x14ac:dyDescent="0.25">
      <c r="A10" s="6">
        <v>7</v>
      </c>
      <c r="B10" s="6" t="s">
        <v>61</v>
      </c>
      <c r="C10" s="7">
        <v>4</v>
      </c>
      <c r="D10" s="7">
        <v>4</v>
      </c>
      <c r="E10" s="7"/>
      <c r="F10" s="7">
        <v>4</v>
      </c>
      <c r="G10" s="7"/>
      <c r="H10" s="7">
        <v>5</v>
      </c>
      <c r="I10" s="7">
        <v>4</v>
      </c>
      <c r="J10" s="7"/>
      <c r="K10" s="7">
        <v>4</v>
      </c>
      <c r="L10" s="7">
        <v>5</v>
      </c>
      <c r="M10" s="8">
        <v>5</v>
      </c>
      <c r="N10" s="8"/>
      <c r="O10" s="8"/>
      <c r="P10" s="8">
        <v>4</v>
      </c>
      <c r="Q10" s="8"/>
      <c r="R10" s="8">
        <v>3</v>
      </c>
      <c r="S10" s="8"/>
      <c r="T10" s="8">
        <v>5</v>
      </c>
      <c r="U10" s="8">
        <v>5</v>
      </c>
      <c r="V10" s="8">
        <v>5</v>
      </c>
      <c r="W10" s="8">
        <v>5</v>
      </c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14</v>
      </c>
      <c r="BB10" s="9">
        <f t="shared" si="1"/>
        <v>62</v>
      </c>
    </row>
    <row r="11" spans="1:54" ht="14.25" customHeight="1" x14ac:dyDescent="0.25">
      <c r="A11" s="6">
        <v>8</v>
      </c>
      <c r="B11" s="6" t="s">
        <v>62</v>
      </c>
      <c r="C11" s="7">
        <v>5</v>
      </c>
      <c r="D11" s="7">
        <v>3</v>
      </c>
      <c r="E11" s="7"/>
      <c r="F11" s="7">
        <v>4</v>
      </c>
      <c r="G11" s="7"/>
      <c r="H11" s="7">
        <v>5</v>
      </c>
      <c r="I11" s="7">
        <v>4</v>
      </c>
      <c r="J11" s="7"/>
      <c r="K11" s="7">
        <v>5</v>
      </c>
      <c r="L11" s="7"/>
      <c r="M11" s="8">
        <v>4</v>
      </c>
      <c r="N11" s="8"/>
      <c r="O11" s="8"/>
      <c r="P11" s="8">
        <v>4</v>
      </c>
      <c r="Q11" s="8">
        <v>5</v>
      </c>
      <c r="R11" s="8">
        <v>3</v>
      </c>
      <c r="S11" s="8"/>
      <c r="T11" s="8">
        <v>5</v>
      </c>
      <c r="U11" s="8">
        <v>5</v>
      </c>
      <c r="V11" s="8">
        <v>5</v>
      </c>
      <c r="W11" s="8">
        <v>4</v>
      </c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14</v>
      </c>
      <c r="BB11" s="9">
        <f t="shared" si="1"/>
        <v>61</v>
      </c>
    </row>
    <row r="12" spans="1:54" ht="14.25" customHeight="1" x14ac:dyDescent="0.25">
      <c r="A12" s="6">
        <v>9</v>
      </c>
      <c r="B12" s="6" t="s">
        <v>63</v>
      </c>
      <c r="C12" s="7">
        <v>4</v>
      </c>
      <c r="D12" s="7">
        <v>4</v>
      </c>
      <c r="E12" s="7">
        <v>5</v>
      </c>
      <c r="F12" s="7">
        <v>5</v>
      </c>
      <c r="G12" s="7"/>
      <c r="H12" s="7">
        <v>5</v>
      </c>
      <c r="I12" s="7">
        <v>4</v>
      </c>
      <c r="J12" s="7"/>
      <c r="K12" s="7">
        <v>5</v>
      </c>
      <c r="L12" s="7"/>
      <c r="M12" s="8">
        <v>5</v>
      </c>
      <c r="N12" s="8">
        <v>5</v>
      </c>
      <c r="O12" s="8"/>
      <c r="P12" s="8">
        <v>5</v>
      </c>
      <c r="Q12" s="8">
        <v>5</v>
      </c>
      <c r="R12" s="8">
        <v>3</v>
      </c>
      <c r="S12" s="8"/>
      <c r="T12" s="8">
        <v>5</v>
      </c>
      <c r="U12" s="8">
        <v>5</v>
      </c>
      <c r="V12" s="8">
        <v>5</v>
      </c>
      <c r="W12" s="8">
        <v>5</v>
      </c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16</v>
      </c>
      <c r="BB12" s="9">
        <f t="shared" si="1"/>
        <v>75</v>
      </c>
    </row>
    <row r="13" spans="1:54" ht="14.25" customHeight="1" x14ac:dyDescent="0.25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ht="14.25" customHeight="1" x14ac:dyDescent="0.25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ht="14.25" customHeight="1" x14ac:dyDescent="0.25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6" spans="1:54" ht="14.25" customHeight="1" x14ac:dyDescent="0.25"/>
    <row r="17" spans="1:55" ht="14.25" customHeight="1" x14ac:dyDescent="0.25">
      <c r="AI17" s="10"/>
      <c r="AJ17" s="10"/>
      <c r="AK17" s="10"/>
      <c r="AL17" s="11"/>
      <c r="AM17" s="11"/>
      <c r="AN17" s="11"/>
      <c r="AO17" s="11"/>
      <c r="AP17" s="11"/>
      <c r="AQ17" s="11"/>
      <c r="AR17" s="11"/>
      <c r="AS17" s="10"/>
      <c r="AT17" s="10"/>
      <c r="AU17" s="10"/>
      <c r="AV17" s="10"/>
    </row>
    <row r="18" spans="1:55" ht="14.25" customHeight="1" x14ac:dyDescent="0.25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ht="14.25" customHeight="1" x14ac:dyDescent="0.25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76.5" customHeight="1" x14ac:dyDescent="0.25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86</v>
      </c>
      <c r="AG20" s="24"/>
      <c r="AH20" s="25"/>
      <c r="AI20" s="31" t="s">
        <v>87</v>
      </c>
      <c r="AJ20" s="24"/>
      <c r="AK20" s="25"/>
      <c r="AL20" s="31" t="s">
        <v>88</v>
      </c>
      <c r="AM20" s="24"/>
      <c r="AN20" s="25"/>
      <c r="AO20" s="34" t="s">
        <v>89</v>
      </c>
      <c r="AP20" s="24"/>
      <c r="AQ20" s="25"/>
      <c r="AR20" s="33" t="s">
        <v>90</v>
      </c>
      <c r="AS20" s="24"/>
      <c r="AT20" s="25"/>
      <c r="AU20" s="33" t="s">
        <v>91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ht="14.25" customHeight="1" x14ac:dyDescent="0.25">
      <c r="A21" s="16">
        <v>1</v>
      </c>
      <c r="B21" s="6" t="s">
        <v>55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5</v>
      </c>
      <c r="P21" s="8">
        <v>0</v>
      </c>
      <c r="Q21" s="8">
        <v>4</v>
      </c>
      <c r="R21" s="8">
        <v>0</v>
      </c>
      <c r="S21" s="8"/>
      <c r="T21" s="8"/>
      <c r="U21" s="8"/>
      <c r="V21" s="8"/>
      <c r="W21" s="8"/>
      <c r="X21" s="8"/>
      <c r="Y21" s="8">
        <f t="shared" ref="Y21:Y32" si="4">COUNTIF(O21:X21,"&gt;0")</f>
        <v>2</v>
      </c>
      <c r="Z21" s="8">
        <f t="shared" ref="Z21:Z32" si="5">SUM(O21:X21)</f>
        <v>9</v>
      </c>
      <c r="AF21" s="20">
        <f>ROUND((N21+BB4)/(M21+BA4)*6,0)</f>
        <v>25</v>
      </c>
      <c r="AG21" s="21"/>
      <c r="AH21" s="22"/>
      <c r="AI21" s="20">
        <f>ROUND(Z21/$Y$19*2,0)</f>
        <v>5</v>
      </c>
      <c r="AJ21" s="21"/>
      <c r="AK21" s="22"/>
      <c r="AL21" s="20">
        <f>ROUND(SUM(AF21:AK21),0)</f>
        <v>30</v>
      </c>
      <c r="AM21" s="21"/>
      <c r="AN21" s="22"/>
      <c r="AO21" s="23">
        <v>16</v>
      </c>
      <c r="AP21" s="24"/>
      <c r="AQ21" s="25"/>
      <c r="AR21" s="20">
        <f>ROUND(SUM(AL21:AQ21),0)</f>
        <v>46</v>
      </c>
      <c r="AS21" s="21"/>
      <c r="AT21" s="22"/>
      <c r="AU21" s="20">
        <v>27</v>
      </c>
      <c r="AV21" s="21"/>
      <c r="AW21" s="22"/>
      <c r="AX21" s="20">
        <f>ROUND(SUM(AR21:AW21),0)</f>
        <v>73</v>
      </c>
      <c r="AY21" s="21"/>
      <c r="AZ21" s="21"/>
      <c r="BA21" s="17">
        <f>IF(AND(AX21&gt;=0,AX21&lt;55),2,IF(AND(AX21&gt;=55,AX21&lt;71),3,IF(AND(AX21&gt;=71,AX21&lt;86),4,IF(AND(AX21&gt;=86,AX20&lt;=100),5,5))))</f>
        <v>4</v>
      </c>
      <c r="BC21" s="18"/>
    </row>
    <row r="22" spans="1:55" ht="14.25" customHeight="1" x14ac:dyDescent="0.25">
      <c r="A22" s="6">
        <v>2</v>
      </c>
      <c r="B22" s="6" t="s">
        <v>56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0</v>
      </c>
      <c r="Q22" s="8">
        <v>4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3</v>
      </c>
      <c r="Z22" s="8">
        <f t="shared" si="5"/>
        <v>12</v>
      </c>
      <c r="AF22" s="20">
        <f t="shared" ref="AF22:AF32" si="6">ROUND((N22+BB5)/(M22+BA5)*6,0)</f>
        <v>26</v>
      </c>
      <c r="AG22" s="21"/>
      <c r="AH22" s="22"/>
      <c r="AI22" s="20">
        <f t="shared" ref="AI22:AI32" si="7">ROUND(Z22/$Y$19*2,0)</f>
        <v>6</v>
      </c>
      <c r="AJ22" s="21"/>
      <c r="AK22" s="22"/>
      <c r="AL22" s="20">
        <f t="shared" ref="AL22:AL32" si="8">ROUND(SUM(AF22:AK22),0)</f>
        <v>32</v>
      </c>
      <c r="AM22" s="21"/>
      <c r="AN22" s="22"/>
      <c r="AO22" s="23">
        <v>16</v>
      </c>
      <c r="AP22" s="24"/>
      <c r="AQ22" s="25"/>
      <c r="AR22" s="20">
        <f t="shared" ref="AR22:AR32" si="9">ROUND(SUM(AL22:AQ22),0)</f>
        <v>48</v>
      </c>
      <c r="AS22" s="21"/>
      <c r="AT22" s="22"/>
      <c r="AU22" s="20">
        <v>30</v>
      </c>
      <c r="AV22" s="21"/>
      <c r="AW22" s="22"/>
      <c r="AX22" s="20">
        <f t="shared" ref="AX22:AX32" si="10">ROUND(SUM(AR22:AW22),0)</f>
        <v>78</v>
      </c>
      <c r="AY22" s="21"/>
      <c r="AZ22" s="21"/>
      <c r="BA22" s="17">
        <f t="shared" ref="BA22:BA32" si="11">IF(AND(AX22&gt;=0,AX22&lt;55),2,IF(AND(AX22&gt;=55,AX22&lt;71),3,IF(AND(AX22&gt;=71,AX22&lt;86),4,IF(AND(AX22&gt;=86,AX21&lt;=100),5,5))))</f>
        <v>4</v>
      </c>
    </row>
    <row r="23" spans="1:55" ht="14.25" customHeight="1" x14ac:dyDescent="0.25">
      <c r="A23" s="6">
        <v>3</v>
      </c>
      <c r="B23" s="6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0</v>
      </c>
      <c r="Q23" s="8">
        <v>5</v>
      </c>
      <c r="R23" s="8">
        <v>3</v>
      </c>
      <c r="S23" s="8"/>
      <c r="T23" s="8"/>
      <c r="U23" s="8"/>
      <c r="V23" s="8"/>
      <c r="W23" s="8"/>
      <c r="X23" s="8"/>
      <c r="Y23" s="8">
        <f t="shared" si="4"/>
        <v>3</v>
      </c>
      <c r="Z23" s="8">
        <f t="shared" si="5"/>
        <v>13</v>
      </c>
      <c r="AF23" s="20">
        <f t="shared" si="6"/>
        <v>23</v>
      </c>
      <c r="AG23" s="21"/>
      <c r="AH23" s="22"/>
      <c r="AI23" s="20">
        <f t="shared" si="7"/>
        <v>7</v>
      </c>
      <c r="AJ23" s="21"/>
      <c r="AK23" s="22"/>
      <c r="AL23" s="20">
        <f t="shared" si="8"/>
        <v>30</v>
      </c>
      <c r="AM23" s="21"/>
      <c r="AN23" s="22"/>
      <c r="AO23" s="23">
        <v>14</v>
      </c>
      <c r="AP23" s="24"/>
      <c r="AQ23" s="25"/>
      <c r="AR23" s="20">
        <f t="shared" si="9"/>
        <v>44</v>
      </c>
      <c r="AS23" s="21"/>
      <c r="AT23" s="22"/>
      <c r="AU23" s="20">
        <v>20</v>
      </c>
      <c r="AV23" s="21"/>
      <c r="AW23" s="22"/>
      <c r="AX23" s="20">
        <f t="shared" si="10"/>
        <v>64</v>
      </c>
      <c r="AY23" s="21"/>
      <c r="AZ23" s="21"/>
      <c r="BA23" s="17">
        <f t="shared" si="11"/>
        <v>3</v>
      </c>
    </row>
    <row r="24" spans="1:55" ht="14.25" customHeight="1" x14ac:dyDescent="0.25">
      <c r="A24" s="6">
        <v>4</v>
      </c>
      <c r="B24" s="6" t="s">
        <v>58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0</v>
      </c>
      <c r="Q24" s="8">
        <v>4</v>
      </c>
      <c r="R24" s="8">
        <v>4</v>
      </c>
      <c r="S24" s="8"/>
      <c r="T24" s="8"/>
      <c r="U24" s="8"/>
      <c r="V24" s="8"/>
      <c r="W24" s="8"/>
      <c r="X24" s="8"/>
      <c r="Y24" s="8">
        <f t="shared" si="4"/>
        <v>3</v>
      </c>
      <c r="Z24" s="8">
        <f t="shared" si="5"/>
        <v>13</v>
      </c>
      <c r="AF24" s="20">
        <f t="shared" si="6"/>
        <v>23</v>
      </c>
      <c r="AG24" s="21"/>
      <c r="AH24" s="22"/>
      <c r="AI24" s="20">
        <f t="shared" si="7"/>
        <v>7</v>
      </c>
      <c r="AJ24" s="21"/>
      <c r="AK24" s="22"/>
      <c r="AL24" s="20">
        <f t="shared" si="8"/>
        <v>30</v>
      </c>
      <c r="AM24" s="21"/>
      <c r="AN24" s="22"/>
      <c r="AO24" s="23">
        <v>15</v>
      </c>
      <c r="AP24" s="24"/>
      <c r="AQ24" s="25"/>
      <c r="AR24" s="20">
        <f t="shared" si="9"/>
        <v>45</v>
      </c>
      <c r="AS24" s="21"/>
      <c r="AT24" s="22"/>
      <c r="AU24" s="20">
        <v>15</v>
      </c>
      <c r="AV24" s="21"/>
      <c r="AW24" s="22"/>
      <c r="AX24" s="20">
        <f t="shared" si="10"/>
        <v>60</v>
      </c>
      <c r="AY24" s="21"/>
      <c r="AZ24" s="21"/>
      <c r="BA24" s="17">
        <f t="shared" si="11"/>
        <v>3</v>
      </c>
    </row>
    <row r="25" spans="1:55" ht="14.25" customHeight="1" x14ac:dyDescent="0.25">
      <c r="A25" s="6">
        <v>5</v>
      </c>
      <c r="B25" s="6" t="s">
        <v>59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5</v>
      </c>
      <c r="P25" s="8">
        <v>5</v>
      </c>
      <c r="Q25" s="8">
        <v>4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18</v>
      </c>
      <c r="AF25" s="20">
        <f t="shared" si="6"/>
        <v>27</v>
      </c>
      <c r="AG25" s="21"/>
      <c r="AH25" s="22"/>
      <c r="AI25" s="20">
        <f t="shared" si="7"/>
        <v>9</v>
      </c>
      <c r="AJ25" s="21"/>
      <c r="AK25" s="22"/>
      <c r="AL25" s="20">
        <f t="shared" si="8"/>
        <v>36</v>
      </c>
      <c r="AM25" s="21"/>
      <c r="AN25" s="22"/>
      <c r="AO25" s="23">
        <v>17</v>
      </c>
      <c r="AP25" s="24"/>
      <c r="AQ25" s="25"/>
      <c r="AR25" s="20">
        <f t="shared" si="9"/>
        <v>53</v>
      </c>
      <c r="AS25" s="21"/>
      <c r="AT25" s="22"/>
      <c r="AU25" s="20">
        <v>34</v>
      </c>
      <c r="AV25" s="21"/>
      <c r="AW25" s="22"/>
      <c r="AX25" s="20">
        <f t="shared" si="10"/>
        <v>87</v>
      </c>
      <c r="AY25" s="21"/>
      <c r="AZ25" s="21"/>
      <c r="BA25" s="17">
        <f t="shared" si="11"/>
        <v>5</v>
      </c>
    </row>
    <row r="26" spans="1:55" ht="14.25" customHeight="1" x14ac:dyDescent="0.25">
      <c r="A26" s="6">
        <v>6</v>
      </c>
      <c r="B26" s="6" t="s">
        <v>60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5</v>
      </c>
      <c r="Q26" s="8">
        <v>4</v>
      </c>
      <c r="R26" s="8">
        <v>0</v>
      </c>
      <c r="S26" s="8"/>
      <c r="T26" s="8"/>
      <c r="U26" s="8"/>
      <c r="V26" s="8"/>
      <c r="W26" s="8"/>
      <c r="X26" s="8"/>
      <c r="Y26" s="8">
        <f t="shared" si="4"/>
        <v>3</v>
      </c>
      <c r="Z26" s="8">
        <f t="shared" si="5"/>
        <v>14</v>
      </c>
      <c r="AF26" s="20">
        <f t="shared" si="6"/>
        <v>24</v>
      </c>
      <c r="AG26" s="21"/>
      <c r="AH26" s="22"/>
      <c r="AI26" s="20">
        <f t="shared" si="7"/>
        <v>7</v>
      </c>
      <c r="AJ26" s="21"/>
      <c r="AK26" s="22"/>
      <c r="AL26" s="20">
        <f t="shared" si="8"/>
        <v>31</v>
      </c>
      <c r="AM26" s="21"/>
      <c r="AN26" s="22"/>
      <c r="AO26" s="23">
        <v>14</v>
      </c>
      <c r="AP26" s="24"/>
      <c r="AQ26" s="25"/>
      <c r="AR26" s="20">
        <f t="shared" si="9"/>
        <v>45</v>
      </c>
      <c r="AS26" s="21"/>
      <c r="AT26" s="22"/>
      <c r="AU26" s="20">
        <v>17</v>
      </c>
      <c r="AV26" s="21"/>
      <c r="AW26" s="22"/>
      <c r="AX26" s="20">
        <f t="shared" si="10"/>
        <v>62</v>
      </c>
      <c r="AY26" s="21"/>
      <c r="AZ26" s="21"/>
      <c r="BA26" s="17">
        <f t="shared" si="11"/>
        <v>3</v>
      </c>
    </row>
    <row r="27" spans="1:55" ht="14.25" customHeight="1" x14ac:dyDescent="0.25">
      <c r="A27" s="6">
        <v>7</v>
      </c>
      <c r="B27" s="6" t="s">
        <v>61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>
        <v>5</v>
      </c>
      <c r="P27" s="8">
        <v>0</v>
      </c>
      <c r="Q27" s="8">
        <v>4</v>
      </c>
      <c r="R27" s="8">
        <v>0</v>
      </c>
      <c r="S27" s="8"/>
      <c r="T27" s="8"/>
      <c r="U27" s="8"/>
      <c r="V27" s="8"/>
      <c r="W27" s="8"/>
      <c r="X27" s="8"/>
      <c r="Y27" s="8">
        <f t="shared" si="4"/>
        <v>2</v>
      </c>
      <c r="Z27" s="8">
        <f t="shared" si="5"/>
        <v>9</v>
      </c>
      <c r="AF27" s="20">
        <f t="shared" si="6"/>
        <v>27</v>
      </c>
      <c r="AG27" s="21"/>
      <c r="AH27" s="22"/>
      <c r="AI27" s="20">
        <f t="shared" si="7"/>
        <v>5</v>
      </c>
      <c r="AJ27" s="21"/>
      <c r="AK27" s="22"/>
      <c r="AL27" s="20">
        <f t="shared" si="8"/>
        <v>32</v>
      </c>
      <c r="AM27" s="21"/>
      <c r="AN27" s="22"/>
      <c r="AO27" s="23">
        <v>17</v>
      </c>
      <c r="AP27" s="24"/>
      <c r="AQ27" s="25"/>
      <c r="AR27" s="20">
        <f t="shared" si="9"/>
        <v>49</v>
      </c>
      <c r="AS27" s="21"/>
      <c r="AT27" s="22"/>
      <c r="AU27" s="20">
        <v>30</v>
      </c>
      <c r="AV27" s="21"/>
      <c r="AW27" s="22"/>
      <c r="AX27" s="20">
        <f t="shared" si="10"/>
        <v>79</v>
      </c>
      <c r="AY27" s="21"/>
      <c r="AZ27" s="21"/>
      <c r="BA27" s="17">
        <f t="shared" si="11"/>
        <v>4</v>
      </c>
    </row>
    <row r="28" spans="1:55" ht="14.25" customHeight="1" x14ac:dyDescent="0.25">
      <c r="A28" s="6">
        <v>8</v>
      </c>
      <c r="B28" s="6" t="s">
        <v>62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>
        <v>5</v>
      </c>
      <c r="P28" s="8">
        <v>0</v>
      </c>
      <c r="Q28" s="8">
        <v>5</v>
      </c>
      <c r="R28" s="8">
        <v>0</v>
      </c>
      <c r="S28" s="8"/>
      <c r="T28" s="8"/>
      <c r="U28" s="8"/>
      <c r="V28" s="8"/>
      <c r="W28" s="8"/>
      <c r="X28" s="8"/>
      <c r="Y28" s="8">
        <f t="shared" si="4"/>
        <v>2</v>
      </c>
      <c r="Z28" s="8">
        <f t="shared" si="5"/>
        <v>10</v>
      </c>
      <c r="AF28" s="20">
        <f t="shared" si="6"/>
        <v>26</v>
      </c>
      <c r="AG28" s="21"/>
      <c r="AH28" s="22"/>
      <c r="AI28" s="20">
        <f t="shared" si="7"/>
        <v>5</v>
      </c>
      <c r="AJ28" s="21"/>
      <c r="AK28" s="22"/>
      <c r="AL28" s="20">
        <f t="shared" si="8"/>
        <v>31</v>
      </c>
      <c r="AM28" s="21"/>
      <c r="AN28" s="22"/>
      <c r="AO28" s="23">
        <v>16</v>
      </c>
      <c r="AP28" s="24"/>
      <c r="AQ28" s="25"/>
      <c r="AR28" s="20">
        <f t="shared" si="9"/>
        <v>47</v>
      </c>
      <c r="AS28" s="21"/>
      <c r="AT28" s="22"/>
      <c r="AU28" s="20">
        <v>28</v>
      </c>
      <c r="AV28" s="21"/>
      <c r="AW28" s="22"/>
      <c r="AX28" s="20">
        <f t="shared" si="10"/>
        <v>75</v>
      </c>
      <c r="AY28" s="21"/>
      <c r="AZ28" s="21"/>
      <c r="BA28" s="17">
        <f t="shared" si="11"/>
        <v>4</v>
      </c>
    </row>
    <row r="29" spans="1:55" ht="14.25" customHeight="1" x14ac:dyDescent="0.25">
      <c r="A29" s="6">
        <v>9</v>
      </c>
      <c r="B29" s="6" t="s">
        <v>63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>
        <v>5</v>
      </c>
      <c r="P29" s="8">
        <v>5</v>
      </c>
      <c r="Q29" s="8">
        <v>5</v>
      </c>
      <c r="R29" s="8">
        <v>4</v>
      </c>
      <c r="S29" s="8"/>
      <c r="T29" s="8"/>
      <c r="U29" s="8"/>
      <c r="V29" s="8"/>
      <c r="W29" s="8"/>
      <c r="X29" s="8"/>
      <c r="Y29" s="8">
        <f t="shared" si="4"/>
        <v>4</v>
      </c>
      <c r="Z29" s="8">
        <f t="shared" si="5"/>
        <v>19</v>
      </c>
      <c r="AF29" s="20">
        <f t="shared" si="6"/>
        <v>28</v>
      </c>
      <c r="AG29" s="21"/>
      <c r="AH29" s="22"/>
      <c r="AI29" s="20">
        <f t="shared" si="7"/>
        <v>10</v>
      </c>
      <c r="AJ29" s="21"/>
      <c r="AK29" s="22"/>
      <c r="AL29" s="20">
        <f t="shared" si="8"/>
        <v>38</v>
      </c>
      <c r="AM29" s="21"/>
      <c r="AN29" s="22"/>
      <c r="AO29" s="23">
        <v>17</v>
      </c>
      <c r="AP29" s="24"/>
      <c r="AQ29" s="25"/>
      <c r="AR29" s="20">
        <f t="shared" si="9"/>
        <v>55</v>
      </c>
      <c r="AS29" s="21"/>
      <c r="AT29" s="22"/>
      <c r="AU29" s="20">
        <v>35</v>
      </c>
      <c r="AV29" s="21"/>
      <c r="AW29" s="22"/>
      <c r="AX29" s="20">
        <f t="shared" si="10"/>
        <v>90</v>
      </c>
      <c r="AY29" s="21"/>
      <c r="AZ29" s="21"/>
      <c r="BA29" s="17">
        <f t="shared" si="11"/>
        <v>5</v>
      </c>
    </row>
    <row r="30" spans="1:55" ht="14.25" customHeight="1" x14ac:dyDescent="0.25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6"/>
        <v>#DIV/0!</v>
      </c>
      <c r="AG30" s="21"/>
      <c r="AH30" s="22"/>
      <c r="AI30" s="20">
        <f t="shared" si="7"/>
        <v>0</v>
      </c>
      <c r="AJ30" s="21"/>
      <c r="AK30" s="22"/>
      <c r="AL30" s="20" t="e">
        <f t="shared" si="8"/>
        <v>#DIV/0!</v>
      </c>
      <c r="AM30" s="21"/>
      <c r="AN30" s="22"/>
      <c r="AO30" s="23"/>
      <c r="AP30" s="24"/>
      <c r="AQ30" s="25"/>
      <c r="AR30" s="20" t="e">
        <f t="shared" si="9"/>
        <v>#DIV/0!</v>
      </c>
      <c r="AS30" s="21"/>
      <c r="AT30" s="22"/>
      <c r="AU30" s="20"/>
      <c r="AV30" s="21"/>
      <c r="AW30" s="22"/>
      <c r="AX30" s="20" t="e">
        <f t="shared" si="10"/>
        <v>#DIV/0!</v>
      </c>
      <c r="AY30" s="21"/>
      <c r="AZ30" s="21"/>
      <c r="BA30" s="17" t="e">
        <f t="shared" si="11"/>
        <v>#DIV/0!</v>
      </c>
    </row>
    <row r="31" spans="1:55" ht="14.25" customHeight="1" x14ac:dyDescent="0.25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6"/>
        <v>#DIV/0!</v>
      </c>
      <c r="AG31" s="21"/>
      <c r="AH31" s="22"/>
      <c r="AI31" s="20">
        <f t="shared" si="7"/>
        <v>0</v>
      </c>
      <c r="AJ31" s="21"/>
      <c r="AK31" s="22"/>
      <c r="AL31" s="20" t="e">
        <f t="shared" si="8"/>
        <v>#DIV/0!</v>
      </c>
      <c r="AM31" s="21"/>
      <c r="AN31" s="22"/>
      <c r="AO31" s="23"/>
      <c r="AP31" s="24"/>
      <c r="AQ31" s="25"/>
      <c r="AR31" s="20" t="e">
        <f t="shared" si="9"/>
        <v>#DIV/0!</v>
      </c>
      <c r="AS31" s="21"/>
      <c r="AT31" s="22"/>
      <c r="AU31" s="20"/>
      <c r="AV31" s="21"/>
      <c r="AW31" s="22"/>
      <c r="AX31" s="20" t="e">
        <f t="shared" si="10"/>
        <v>#DIV/0!</v>
      </c>
      <c r="AY31" s="21"/>
      <c r="AZ31" s="21"/>
      <c r="BA31" s="17" t="e">
        <f t="shared" si="11"/>
        <v>#DIV/0!</v>
      </c>
    </row>
    <row r="32" spans="1:55" ht="14.25" customHeight="1" x14ac:dyDescent="0.25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6"/>
        <v>#DIV/0!</v>
      </c>
      <c r="AG32" s="21"/>
      <c r="AH32" s="22"/>
      <c r="AI32" s="20">
        <f t="shared" si="7"/>
        <v>0</v>
      </c>
      <c r="AJ32" s="21"/>
      <c r="AK32" s="22"/>
      <c r="AL32" s="20" t="e">
        <f t="shared" si="8"/>
        <v>#DIV/0!</v>
      </c>
      <c r="AM32" s="21"/>
      <c r="AN32" s="22"/>
      <c r="AO32" s="23"/>
      <c r="AP32" s="24"/>
      <c r="AQ32" s="25"/>
      <c r="AR32" s="20" t="e">
        <f t="shared" si="9"/>
        <v>#DIV/0!</v>
      </c>
      <c r="AS32" s="21"/>
      <c r="AT32" s="22"/>
      <c r="AU32" s="20"/>
      <c r="AV32" s="21"/>
      <c r="AW32" s="22"/>
      <c r="AX32" s="20" t="e">
        <f t="shared" si="10"/>
        <v>#DIV/0!</v>
      </c>
      <c r="AY32" s="21"/>
      <c r="AZ32" s="21"/>
      <c r="BA32" s="17" t="e">
        <f t="shared" si="11"/>
        <v>#DIV/0!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98">
    <mergeCell ref="AO24:AQ24"/>
    <mergeCell ref="AO23:AQ23"/>
    <mergeCell ref="AO25:AQ25"/>
    <mergeCell ref="AO22:AQ22"/>
    <mergeCell ref="AO20:AQ20"/>
    <mergeCell ref="AO21:AQ21"/>
    <mergeCell ref="AR20:AT20"/>
    <mergeCell ref="AR25:AT25"/>
    <mergeCell ref="AR24:AT24"/>
    <mergeCell ref="AR23:AT23"/>
    <mergeCell ref="AR22:AT22"/>
    <mergeCell ref="AR21:AT21"/>
    <mergeCell ref="AU24:AW24"/>
    <mergeCell ref="AU20:AW20"/>
    <mergeCell ref="AU23:AW23"/>
    <mergeCell ref="AU25:AW25"/>
    <mergeCell ref="AU22:AW22"/>
    <mergeCell ref="AU21:AW21"/>
    <mergeCell ref="AX20:AZ20"/>
    <mergeCell ref="AX22:AZ22"/>
    <mergeCell ref="AX23:AZ23"/>
    <mergeCell ref="AX24:AZ24"/>
    <mergeCell ref="AX21:AZ21"/>
    <mergeCell ref="AX25:AZ25"/>
    <mergeCell ref="A1:AZ1"/>
    <mergeCell ref="A2:A3"/>
    <mergeCell ref="B2:B3"/>
    <mergeCell ref="A18:L18"/>
    <mergeCell ref="O18:X18"/>
    <mergeCell ref="A19:A20"/>
    <mergeCell ref="AF20:AH20"/>
    <mergeCell ref="AL20:AN20"/>
    <mergeCell ref="AI20:AK20"/>
    <mergeCell ref="AF21:AH21"/>
    <mergeCell ref="AL21:AN21"/>
    <mergeCell ref="AI21:AK21"/>
    <mergeCell ref="AL22:AN22"/>
    <mergeCell ref="AI22:AK22"/>
    <mergeCell ref="AF22:AH22"/>
    <mergeCell ref="AI23:AK23"/>
    <mergeCell ref="AL23:AN23"/>
    <mergeCell ref="AF23:AH23"/>
    <mergeCell ref="AL24:AN24"/>
    <mergeCell ref="AF24:AH24"/>
    <mergeCell ref="AI24:AK24"/>
    <mergeCell ref="B19:B20"/>
    <mergeCell ref="AF28:AH28"/>
    <mergeCell ref="AF29:AH29"/>
    <mergeCell ref="AF25:AH25"/>
    <mergeCell ref="AF26:AH26"/>
    <mergeCell ref="AF32:AH32"/>
    <mergeCell ref="AF30:AH30"/>
    <mergeCell ref="AF27:AH27"/>
    <mergeCell ref="AF31:AH31"/>
    <mergeCell ref="AI29:AK29"/>
    <mergeCell ref="AI27:AK27"/>
    <mergeCell ref="AI30:AK30"/>
    <mergeCell ref="AI31:AK31"/>
    <mergeCell ref="AI28:AK28"/>
    <mergeCell ref="AI26:AK26"/>
    <mergeCell ref="AI32:AK32"/>
    <mergeCell ref="AI25:AK25"/>
    <mergeCell ref="AL31:AN31"/>
    <mergeCell ref="AL32:AN32"/>
    <mergeCell ref="AL28:AN28"/>
    <mergeCell ref="AL30:AN30"/>
    <mergeCell ref="AL29:AN29"/>
    <mergeCell ref="AL25:AN25"/>
    <mergeCell ref="AL26:AN26"/>
    <mergeCell ref="AL27:AN27"/>
    <mergeCell ref="AO32:AQ32"/>
    <mergeCell ref="AO30:AQ30"/>
    <mergeCell ref="AO27:AQ27"/>
    <mergeCell ref="AO26:AQ26"/>
    <mergeCell ref="AO31:AQ31"/>
    <mergeCell ref="AO28:AQ28"/>
    <mergeCell ref="AO29:AQ29"/>
    <mergeCell ref="AR32:AT32"/>
    <mergeCell ref="AR31:AT31"/>
    <mergeCell ref="AR26:AT26"/>
    <mergeCell ref="AR28:AT28"/>
    <mergeCell ref="AR30:AT30"/>
    <mergeCell ref="AR27:AT27"/>
    <mergeCell ref="AR29:AT29"/>
    <mergeCell ref="AU32:AW32"/>
    <mergeCell ref="AU28:AW28"/>
    <mergeCell ref="AX26:AZ26"/>
    <mergeCell ref="AX28:AZ28"/>
    <mergeCell ref="AX30:AZ30"/>
    <mergeCell ref="AX27:AZ27"/>
    <mergeCell ref="AX29:AZ29"/>
    <mergeCell ref="AX31:AZ31"/>
    <mergeCell ref="AX32:AZ32"/>
    <mergeCell ref="AU26:AW26"/>
    <mergeCell ref="AU31:AW31"/>
    <mergeCell ref="AU27:AW27"/>
    <mergeCell ref="AU30:AW30"/>
    <mergeCell ref="AU29:AW29"/>
  </mergeCells>
  <conditionalFormatting sqref="BA21:BA32">
    <cfRule type="cellIs" dxfId="41" priority="3" operator="equal">
      <formula>5</formula>
    </cfRule>
    <cfRule type="cellIs" dxfId="40" priority="6" operator="equal">
      <formula>4</formula>
    </cfRule>
    <cfRule type="cellIs" dxfId="39" priority="9" operator="equal">
      <formula>3</formula>
    </cfRule>
    <cfRule type="cellIs" dxfId="38" priority="12" operator="equal">
      <formula>2</formula>
    </cfRule>
  </conditionalFormatting>
  <conditionalFormatting sqref="C4:AF15">
    <cfRule type="cellIs" dxfId="37" priority="15" operator="equal">
      <formula>3</formula>
    </cfRule>
    <cfRule type="cellIs" dxfId="36" priority="17" operator="greaterThan">
      <formula>3</formula>
    </cfRule>
    <cfRule type="cellIs" dxfId="35" priority="20" operator="equal">
      <formula>0</formula>
    </cfRule>
  </conditionalFormatting>
  <conditionalFormatting sqref="C20">
    <cfRule type="cellIs" dxfId="34" priority="23" operator="equal">
      <formula>$C$19</formula>
    </cfRule>
    <cfRule type="cellIs" dxfId="33" priority="27" operator="equal">
      <formula>$C$19</formula>
    </cfRule>
  </conditionalFormatting>
  <conditionalFormatting sqref="C20:L20">
    <cfRule type="cellIs" dxfId="32" priority="28" operator="equal">
      <formula>1</formula>
    </cfRule>
  </conditionalFormatting>
  <conditionalFormatting sqref="C19:L19">
    <cfRule type="cellIs" dxfId="31" priority="33" operator="equal">
      <formula>1</formula>
    </cfRule>
  </conditionalFormatting>
  <conditionalFormatting sqref="C2:AZ2">
    <cfRule type="cellIs" dxfId="30" priority="36" operator="equal">
      <formula>1</formula>
    </cfRule>
  </conditionalFormatting>
  <conditionalFormatting sqref="O19:X19">
    <cfRule type="cellIs" dxfId="29" priority="39" operator="equal">
      <formula>1</formula>
    </cfRule>
  </conditionalFormatting>
  <conditionalFormatting sqref="AR21:AT32">
    <cfRule type="cellIs" dxfId="28" priority="40" operator="lessThan">
      <formula>33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topLeftCell="A18" zoomScale="85" zoomScaleNormal="85" workbookViewId="0">
      <selection activeCell="L34" sqref="L34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 x14ac:dyDescent="0.25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4" t="s">
        <v>54</v>
      </c>
    </row>
    <row r="4" spans="1:54" x14ac:dyDescent="0.25">
      <c r="A4" s="6">
        <v>1</v>
      </c>
      <c r="B4" s="6" t="s">
        <v>94</v>
      </c>
      <c r="C4" s="7">
        <v>5</v>
      </c>
      <c r="D4" s="7">
        <v>5</v>
      </c>
      <c r="E4" s="7">
        <v>5</v>
      </c>
      <c r="F4" s="7">
        <v>5</v>
      </c>
      <c r="G4" s="7">
        <v>4</v>
      </c>
      <c r="H4" s="7"/>
      <c r="I4" s="7">
        <v>5</v>
      </c>
      <c r="J4" s="7">
        <v>5</v>
      </c>
      <c r="K4" s="7">
        <v>4</v>
      </c>
      <c r="L4" s="7">
        <v>5</v>
      </c>
      <c r="M4" s="8"/>
      <c r="N4" s="8">
        <v>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10</v>
      </c>
      <c r="BB4" s="9">
        <f t="shared" ref="BB4:BB15" si="1">SUM(C4:AZ4)</f>
        <v>47</v>
      </c>
    </row>
    <row r="5" spans="1:54" x14ac:dyDescent="0.25">
      <c r="A5" s="6">
        <v>2</v>
      </c>
      <c r="B5" s="6" t="s">
        <v>95</v>
      </c>
      <c r="C5" s="7">
        <v>5</v>
      </c>
      <c r="D5" s="7">
        <v>5</v>
      </c>
      <c r="E5" s="7">
        <v>5</v>
      </c>
      <c r="F5" s="7">
        <v>5</v>
      </c>
      <c r="G5" s="7"/>
      <c r="H5" s="7">
        <v>5</v>
      </c>
      <c r="I5" s="7">
        <v>4</v>
      </c>
      <c r="J5" s="7">
        <v>5</v>
      </c>
      <c r="K5" s="7">
        <v>5</v>
      </c>
      <c r="L5" s="7"/>
      <c r="M5" s="8">
        <v>5</v>
      </c>
      <c r="N5" s="8">
        <v>5</v>
      </c>
      <c r="O5" s="8">
        <v>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11</v>
      </c>
      <c r="BB5" s="9">
        <f t="shared" si="1"/>
        <v>54</v>
      </c>
    </row>
    <row r="6" spans="1:54" x14ac:dyDescent="0.25">
      <c r="A6" s="6">
        <v>3</v>
      </c>
      <c r="B6" s="6" t="s">
        <v>96</v>
      </c>
      <c r="C6" s="7">
        <v>5</v>
      </c>
      <c r="D6" s="7">
        <v>5</v>
      </c>
      <c r="E6" s="7">
        <v>5</v>
      </c>
      <c r="F6" s="7"/>
      <c r="G6" s="7">
        <v>5</v>
      </c>
      <c r="H6" s="7">
        <v>5</v>
      </c>
      <c r="I6" s="7">
        <v>5</v>
      </c>
      <c r="J6" s="7">
        <v>4</v>
      </c>
      <c r="K6" s="7">
        <v>5</v>
      </c>
      <c r="L6" s="7">
        <v>4</v>
      </c>
      <c r="M6" s="8">
        <v>5</v>
      </c>
      <c r="N6" s="8">
        <v>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11</v>
      </c>
      <c r="BB6" s="9">
        <f t="shared" si="1"/>
        <v>52</v>
      </c>
    </row>
    <row r="7" spans="1:54" x14ac:dyDescent="0.25">
      <c r="A7" s="6">
        <v>4</v>
      </c>
      <c r="B7" s="6" t="s">
        <v>97</v>
      </c>
      <c r="C7" s="7">
        <v>5</v>
      </c>
      <c r="D7" s="7">
        <v>5</v>
      </c>
      <c r="E7" s="7">
        <v>5</v>
      </c>
      <c r="F7" s="7"/>
      <c r="G7" s="7">
        <v>5</v>
      </c>
      <c r="H7" s="7">
        <v>5</v>
      </c>
      <c r="I7" s="7">
        <v>5</v>
      </c>
      <c r="J7" s="7">
        <v>5</v>
      </c>
      <c r="K7" s="7"/>
      <c r="L7" s="7">
        <v>5</v>
      </c>
      <c r="M7" s="8">
        <v>4</v>
      </c>
      <c r="N7" s="8">
        <v>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10</v>
      </c>
      <c r="BB7" s="9">
        <f t="shared" si="1"/>
        <v>49</v>
      </c>
    </row>
    <row r="8" spans="1:54" x14ac:dyDescent="0.25">
      <c r="A8" s="6">
        <v>5</v>
      </c>
      <c r="B8" s="6" t="s">
        <v>98</v>
      </c>
      <c r="C8" s="7">
        <v>5</v>
      </c>
      <c r="D8" s="7">
        <v>4</v>
      </c>
      <c r="E8" s="7">
        <v>5</v>
      </c>
      <c r="F8" s="7">
        <v>5</v>
      </c>
      <c r="G8" s="7">
        <v>5</v>
      </c>
      <c r="H8" s="7">
        <v>4</v>
      </c>
      <c r="I8" s="7">
        <v>5</v>
      </c>
      <c r="J8" s="7">
        <v>5</v>
      </c>
      <c r="K8" s="7">
        <v>4</v>
      </c>
      <c r="L8" s="7"/>
      <c r="M8" s="8">
        <v>5</v>
      </c>
      <c r="N8" s="8">
        <v>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11</v>
      </c>
      <c r="BB8" s="9">
        <f t="shared" si="1"/>
        <v>52</v>
      </c>
    </row>
    <row r="9" spans="1:54" x14ac:dyDescent="0.25">
      <c r="A9" s="6">
        <v>6</v>
      </c>
      <c r="B9" s="6" t="s">
        <v>99</v>
      </c>
      <c r="C9" s="7">
        <v>5</v>
      </c>
      <c r="D9" s="7">
        <v>5</v>
      </c>
      <c r="E9" s="7">
        <v>5</v>
      </c>
      <c r="F9" s="7">
        <v>4</v>
      </c>
      <c r="G9" s="7">
        <v>5</v>
      </c>
      <c r="H9" s="7">
        <v>5</v>
      </c>
      <c r="I9" s="7"/>
      <c r="J9" s="7">
        <v>5</v>
      </c>
      <c r="K9" s="7">
        <v>4</v>
      </c>
      <c r="L9" s="7">
        <v>5</v>
      </c>
      <c r="M9" s="8">
        <v>4</v>
      </c>
      <c r="N9" s="8">
        <v>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11</v>
      </c>
      <c r="BB9" s="9">
        <f t="shared" si="1"/>
        <v>51</v>
      </c>
    </row>
    <row r="10" spans="1:54" x14ac:dyDescent="0.25">
      <c r="A10" s="6">
        <v>7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0</v>
      </c>
      <c r="BB10" s="9">
        <f t="shared" si="1"/>
        <v>0</v>
      </c>
    </row>
    <row r="11" spans="1:54" x14ac:dyDescent="0.25">
      <c r="A11" s="6">
        <v>8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0</v>
      </c>
      <c r="BB11" s="9">
        <f t="shared" si="1"/>
        <v>0</v>
      </c>
    </row>
    <row r="12" spans="1:54" x14ac:dyDescent="0.25">
      <c r="A12" s="6">
        <v>9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0</v>
      </c>
      <c r="BB12" s="9">
        <f t="shared" si="1"/>
        <v>0</v>
      </c>
    </row>
    <row r="13" spans="1:54" x14ac:dyDescent="0.25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x14ac:dyDescent="0.25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x14ac:dyDescent="0.25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7" spans="1:55" x14ac:dyDescent="0.25">
      <c r="AK17" s="10"/>
      <c r="AL17" s="11"/>
      <c r="AM17" s="11"/>
      <c r="AN17" s="11"/>
      <c r="AO17" s="11"/>
      <c r="AP17" s="11"/>
      <c r="AQ17" s="11"/>
      <c r="AR17" s="11"/>
      <c r="AS17" s="10"/>
    </row>
    <row r="18" spans="1:55" x14ac:dyDescent="0.25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25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67.5" x14ac:dyDescent="0.25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100</v>
      </c>
      <c r="AG20" s="24"/>
      <c r="AH20" s="25"/>
      <c r="AI20" s="31" t="s">
        <v>101</v>
      </c>
      <c r="AJ20" s="24"/>
      <c r="AK20" s="25"/>
      <c r="AL20" s="41"/>
      <c r="AM20" s="39"/>
      <c r="AN20" s="40"/>
      <c r="AO20" s="42"/>
      <c r="AP20" s="39"/>
      <c r="AQ20" s="40"/>
      <c r="AR20" s="31" t="s">
        <v>102</v>
      </c>
      <c r="AS20" s="24"/>
      <c r="AT20" s="25"/>
      <c r="AU20" s="33" t="s">
        <v>91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x14ac:dyDescent="0.25">
      <c r="A21" s="16">
        <v>1</v>
      </c>
      <c r="B21" s="6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4</v>
      </c>
      <c r="P21" s="8">
        <v>5</v>
      </c>
      <c r="Q21" s="8">
        <v>3</v>
      </c>
      <c r="R21" s="8">
        <v>4</v>
      </c>
      <c r="S21" s="8"/>
      <c r="T21" s="8"/>
      <c r="U21" s="8"/>
      <c r="V21" s="8"/>
      <c r="W21" s="8"/>
      <c r="X21" s="8"/>
      <c r="Y21" s="8">
        <f t="shared" ref="Y21:Y32" si="4">COUNTIF(O21:X21,"&gt;0")</f>
        <v>4</v>
      </c>
      <c r="Z21" s="8">
        <f t="shared" ref="Z21:Z32" si="5">SUM(O21:X21)</f>
        <v>16</v>
      </c>
      <c r="AF21" s="20">
        <f>ROUND((N21+BB4)/(M21+BA4)*8,0)</f>
        <v>38</v>
      </c>
      <c r="AG21" s="21"/>
      <c r="AH21" s="22"/>
      <c r="AI21" s="20">
        <f>ROUND(Z21/$Y$19*4,0)</f>
        <v>16</v>
      </c>
      <c r="AJ21" s="21"/>
      <c r="AK21" s="22"/>
      <c r="AL21" s="35"/>
      <c r="AM21" s="36"/>
      <c r="AN21" s="37"/>
      <c r="AO21" s="38"/>
      <c r="AP21" s="39"/>
      <c r="AQ21" s="40"/>
      <c r="AR21" s="20">
        <f>AF21+AI21</f>
        <v>54</v>
      </c>
      <c r="AS21" s="21"/>
      <c r="AT21" s="22"/>
      <c r="AU21" s="20">
        <v>36</v>
      </c>
      <c r="AV21" s="21"/>
      <c r="AW21" s="22"/>
      <c r="AX21" s="20">
        <f>ROUND(SUM(AR21:AW21),0)</f>
        <v>90</v>
      </c>
      <c r="AY21" s="21"/>
      <c r="AZ21" s="21"/>
      <c r="BA21" s="17">
        <f>IF(AND(AX21&gt;=0,AX21&lt;55),2,IF(AND(AX21&gt;=55,AX21&lt;71),3,IF(AND(AX21&gt;=71,AX21&lt;86),4,IF(AND(AX21&gt;=86,AX20&lt;=100),5,5))))</f>
        <v>5</v>
      </c>
      <c r="BC21" s="18"/>
    </row>
    <row r="22" spans="1:55" x14ac:dyDescent="0.25">
      <c r="A22" s="6">
        <v>2</v>
      </c>
      <c r="B22" s="6" t="s">
        <v>95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5</v>
      </c>
      <c r="Q22" s="8">
        <v>3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4</v>
      </c>
      <c r="Z22" s="8">
        <f t="shared" si="5"/>
        <v>16</v>
      </c>
      <c r="AF22" s="20">
        <f t="shared" ref="AF22:AF32" si="6">ROUND((N22+BB5)/(M22+BA5)*8,0)</f>
        <v>39</v>
      </c>
      <c r="AG22" s="21"/>
      <c r="AH22" s="22"/>
      <c r="AI22" s="20">
        <f t="shared" ref="AI22:AI32" si="7">ROUND(Z22/$Y$19*4,0)</f>
        <v>16</v>
      </c>
      <c r="AJ22" s="21"/>
      <c r="AK22" s="22"/>
      <c r="AL22" s="35"/>
      <c r="AM22" s="36"/>
      <c r="AN22" s="37"/>
      <c r="AO22" s="38"/>
      <c r="AP22" s="39"/>
      <c r="AQ22" s="40"/>
      <c r="AR22" s="20">
        <f t="shared" ref="AR22:AR32" si="8">AF22+AI22</f>
        <v>55</v>
      </c>
      <c r="AS22" s="21"/>
      <c r="AT22" s="22"/>
      <c r="AU22" s="20">
        <v>38</v>
      </c>
      <c r="AV22" s="21"/>
      <c r="AW22" s="22"/>
      <c r="AX22" s="20">
        <f t="shared" ref="AX22:AX32" si="9">ROUND(SUM(AR22:AW22),0)</f>
        <v>93</v>
      </c>
      <c r="AY22" s="21"/>
      <c r="AZ22" s="21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6">
        <v>3</v>
      </c>
      <c r="B23" s="6" t="s">
        <v>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4</v>
      </c>
      <c r="Q23" s="8">
        <v>3</v>
      </c>
      <c r="R23" s="8">
        <v>4</v>
      </c>
      <c r="S23" s="8"/>
      <c r="T23" s="8"/>
      <c r="U23" s="8"/>
      <c r="V23" s="8"/>
      <c r="W23" s="8"/>
      <c r="X23" s="8"/>
      <c r="Y23" s="8">
        <f t="shared" si="4"/>
        <v>4</v>
      </c>
      <c r="Z23" s="8">
        <f t="shared" si="5"/>
        <v>16</v>
      </c>
      <c r="AF23" s="20">
        <f t="shared" si="6"/>
        <v>38</v>
      </c>
      <c r="AG23" s="21"/>
      <c r="AH23" s="22"/>
      <c r="AI23" s="20">
        <f t="shared" si="7"/>
        <v>16</v>
      </c>
      <c r="AJ23" s="21"/>
      <c r="AK23" s="22"/>
      <c r="AL23" s="35"/>
      <c r="AM23" s="36"/>
      <c r="AN23" s="37"/>
      <c r="AO23" s="38"/>
      <c r="AP23" s="39"/>
      <c r="AQ23" s="40"/>
      <c r="AR23" s="20">
        <f t="shared" si="8"/>
        <v>54</v>
      </c>
      <c r="AS23" s="21"/>
      <c r="AT23" s="22"/>
      <c r="AU23" s="20">
        <v>28</v>
      </c>
      <c r="AV23" s="21"/>
      <c r="AW23" s="22"/>
      <c r="AX23" s="20">
        <f t="shared" si="9"/>
        <v>82</v>
      </c>
      <c r="AY23" s="21"/>
      <c r="AZ23" s="21"/>
      <c r="BA23" s="17">
        <f t="shared" si="10"/>
        <v>4</v>
      </c>
    </row>
    <row r="24" spans="1:55" x14ac:dyDescent="0.25">
      <c r="A24" s="6">
        <v>4</v>
      </c>
      <c r="B24" s="6" t="s">
        <v>97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5</v>
      </c>
      <c r="Q24" s="8">
        <v>4</v>
      </c>
      <c r="R24" s="8">
        <v>3</v>
      </c>
      <c r="S24" s="8"/>
      <c r="T24" s="8"/>
      <c r="U24" s="8"/>
      <c r="V24" s="8"/>
      <c r="W24" s="8"/>
      <c r="X24" s="8"/>
      <c r="Y24" s="8">
        <f t="shared" si="4"/>
        <v>4</v>
      </c>
      <c r="Z24" s="8">
        <f t="shared" si="5"/>
        <v>17</v>
      </c>
      <c r="AF24" s="20">
        <f t="shared" si="6"/>
        <v>39</v>
      </c>
      <c r="AG24" s="21"/>
      <c r="AH24" s="22"/>
      <c r="AI24" s="20">
        <f t="shared" si="7"/>
        <v>17</v>
      </c>
      <c r="AJ24" s="21"/>
      <c r="AK24" s="22"/>
      <c r="AL24" s="35"/>
      <c r="AM24" s="36"/>
      <c r="AN24" s="37"/>
      <c r="AO24" s="38"/>
      <c r="AP24" s="39"/>
      <c r="AQ24" s="40"/>
      <c r="AR24" s="20">
        <f t="shared" si="8"/>
        <v>56</v>
      </c>
      <c r="AS24" s="21"/>
      <c r="AT24" s="22"/>
      <c r="AU24" s="20">
        <v>38</v>
      </c>
      <c r="AV24" s="21"/>
      <c r="AW24" s="22"/>
      <c r="AX24" s="20">
        <f t="shared" si="9"/>
        <v>94</v>
      </c>
      <c r="AY24" s="21"/>
      <c r="AZ24" s="21"/>
      <c r="BA24" s="17">
        <f t="shared" si="10"/>
        <v>5</v>
      </c>
    </row>
    <row r="25" spans="1:55" x14ac:dyDescent="0.25">
      <c r="A25" s="6">
        <v>5</v>
      </c>
      <c r="B25" s="6" t="s">
        <v>98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4</v>
      </c>
      <c r="P25" s="8">
        <v>4</v>
      </c>
      <c r="Q25" s="8">
        <v>3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15</v>
      </c>
      <c r="AF25" s="20">
        <f t="shared" si="6"/>
        <v>38</v>
      </c>
      <c r="AG25" s="21"/>
      <c r="AH25" s="22"/>
      <c r="AI25" s="20">
        <f t="shared" si="7"/>
        <v>15</v>
      </c>
      <c r="AJ25" s="21"/>
      <c r="AK25" s="22"/>
      <c r="AL25" s="35"/>
      <c r="AM25" s="36"/>
      <c r="AN25" s="37"/>
      <c r="AO25" s="38"/>
      <c r="AP25" s="39"/>
      <c r="AQ25" s="40"/>
      <c r="AR25" s="20">
        <f t="shared" si="8"/>
        <v>53</v>
      </c>
      <c r="AS25" s="21"/>
      <c r="AT25" s="22"/>
      <c r="AU25" s="20">
        <v>37</v>
      </c>
      <c r="AV25" s="21"/>
      <c r="AW25" s="22"/>
      <c r="AX25" s="20">
        <f t="shared" si="9"/>
        <v>90</v>
      </c>
      <c r="AY25" s="21"/>
      <c r="AZ25" s="21"/>
      <c r="BA25" s="17">
        <f t="shared" si="10"/>
        <v>5</v>
      </c>
    </row>
    <row r="26" spans="1:55" x14ac:dyDescent="0.25">
      <c r="A26" s="6">
        <v>6</v>
      </c>
      <c r="B26" s="6" t="s">
        <v>99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4</v>
      </c>
      <c r="Q26" s="8">
        <v>4</v>
      </c>
      <c r="R26" s="8">
        <v>3</v>
      </c>
      <c r="S26" s="8"/>
      <c r="T26" s="8"/>
      <c r="U26" s="8"/>
      <c r="V26" s="8"/>
      <c r="W26" s="8"/>
      <c r="X26" s="8"/>
      <c r="Y26" s="8">
        <f t="shared" si="4"/>
        <v>4</v>
      </c>
      <c r="Z26" s="8">
        <f t="shared" si="5"/>
        <v>16</v>
      </c>
      <c r="AF26" s="20">
        <f t="shared" si="6"/>
        <v>37</v>
      </c>
      <c r="AG26" s="21"/>
      <c r="AH26" s="22"/>
      <c r="AI26" s="20">
        <f t="shared" si="7"/>
        <v>16</v>
      </c>
      <c r="AJ26" s="21"/>
      <c r="AK26" s="22"/>
      <c r="AL26" s="35"/>
      <c r="AM26" s="36"/>
      <c r="AN26" s="37"/>
      <c r="AO26" s="38"/>
      <c r="AP26" s="39"/>
      <c r="AQ26" s="40"/>
      <c r="AR26" s="20">
        <f t="shared" si="8"/>
        <v>53</v>
      </c>
      <c r="AS26" s="21"/>
      <c r="AT26" s="22"/>
      <c r="AU26" s="20">
        <v>35</v>
      </c>
      <c r="AV26" s="21"/>
      <c r="AW26" s="22"/>
      <c r="AX26" s="20">
        <f t="shared" si="9"/>
        <v>88</v>
      </c>
      <c r="AY26" s="21"/>
      <c r="AZ26" s="21"/>
      <c r="BA26" s="17">
        <f t="shared" si="10"/>
        <v>5</v>
      </c>
    </row>
    <row r="27" spans="1:55" x14ac:dyDescent="0.25">
      <c r="A27" s="6">
        <v>7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>
        <f t="shared" si="4"/>
        <v>0</v>
      </c>
      <c r="Z27" s="8">
        <f t="shared" si="5"/>
        <v>0</v>
      </c>
      <c r="AF27" s="20" t="e">
        <f t="shared" si="6"/>
        <v>#DIV/0!</v>
      </c>
      <c r="AG27" s="21"/>
      <c r="AH27" s="22"/>
      <c r="AI27" s="20">
        <f t="shared" si="7"/>
        <v>0</v>
      </c>
      <c r="AJ27" s="21"/>
      <c r="AK27" s="22"/>
      <c r="AL27" s="35"/>
      <c r="AM27" s="36"/>
      <c r="AN27" s="37"/>
      <c r="AO27" s="38"/>
      <c r="AP27" s="39"/>
      <c r="AQ27" s="40"/>
      <c r="AR27" s="20" t="e">
        <f t="shared" si="8"/>
        <v>#DIV/0!</v>
      </c>
      <c r="AS27" s="21"/>
      <c r="AT27" s="22"/>
      <c r="AU27" s="20"/>
      <c r="AV27" s="21"/>
      <c r="AW27" s="22"/>
      <c r="AX27" s="20" t="e">
        <f t="shared" si="9"/>
        <v>#DIV/0!</v>
      </c>
      <c r="AY27" s="21"/>
      <c r="AZ27" s="21"/>
      <c r="BA27" s="17" t="e">
        <f t="shared" si="10"/>
        <v>#DIV/0!</v>
      </c>
    </row>
    <row r="28" spans="1:55" x14ac:dyDescent="0.25">
      <c r="A28" s="6">
        <v>8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f t="shared" si="4"/>
        <v>0</v>
      </c>
      <c r="Z28" s="8">
        <f t="shared" si="5"/>
        <v>0</v>
      </c>
      <c r="AF28" s="20" t="e">
        <f t="shared" si="6"/>
        <v>#DIV/0!</v>
      </c>
      <c r="AG28" s="21"/>
      <c r="AH28" s="22"/>
      <c r="AI28" s="20">
        <f t="shared" si="7"/>
        <v>0</v>
      </c>
      <c r="AJ28" s="21"/>
      <c r="AK28" s="22"/>
      <c r="AL28" s="35"/>
      <c r="AM28" s="36"/>
      <c r="AN28" s="37"/>
      <c r="AO28" s="38"/>
      <c r="AP28" s="39"/>
      <c r="AQ28" s="40"/>
      <c r="AR28" s="20" t="e">
        <f t="shared" si="8"/>
        <v>#DIV/0!</v>
      </c>
      <c r="AS28" s="21"/>
      <c r="AT28" s="22"/>
      <c r="AU28" s="20"/>
      <c r="AV28" s="21"/>
      <c r="AW28" s="22"/>
      <c r="AX28" s="20" t="e">
        <f t="shared" si="9"/>
        <v>#DIV/0!</v>
      </c>
      <c r="AY28" s="21"/>
      <c r="AZ28" s="21"/>
      <c r="BA28" s="17" t="e">
        <f t="shared" si="10"/>
        <v>#DIV/0!</v>
      </c>
    </row>
    <row r="29" spans="1:55" x14ac:dyDescent="0.25">
      <c r="A29" s="6">
        <v>9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>
        <f t="shared" si="4"/>
        <v>0</v>
      </c>
      <c r="Z29" s="8">
        <f t="shared" si="5"/>
        <v>0</v>
      </c>
      <c r="AF29" s="20" t="e">
        <f t="shared" si="6"/>
        <v>#DIV/0!</v>
      </c>
      <c r="AG29" s="21"/>
      <c r="AH29" s="22"/>
      <c r="AI29" s="20">
        <f t="shared" si="7"/>
        <v>0</v>
      </c>
      <c r="AJ29" s="21"/>
      <c r="AK29" s="22"/>
      <c r="AL29" s="35"/>
      <c r="AM29" s="36"/>
      <c r="AN29" s="37"/>
      <c r="AO29" s="38"/>
      <c r="AP29" s="39"/>
      <c r="AQ29" s="40"/>
      <c r="AR29" s="20" t="e">
        <f t="shared" si="8"/>
        <v>#DIV/0!</v>
      </c>
      <c r="AS29" s="21"/>
      <c r="AT29" s="22"/>
      <c r="AU29" s="20"/>
      <c r="AV29" s="21"/>
      <c r="AW29" s="22"/>
      <c r="AX29" s="20" t="e">
        <f t="shared" si="9"/>
        <v>#DIV/0!</v>
      </c>
      <c r="AY29" s="21"/>
      <c r="AZ29" s="21"/>
      <c r="BA29" s="17" t="e">
        <f t="shared" si="10"/>
        <v>#DIV/0!</v>
      </c>
    </row>
    <row r="30" spans="1:55" x14ac:dyDescent="0.25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6"/>
        <v>#DIV/0!</v>
      </c>
      <c r="AG30" s="21"/>
      <c r="AH30" s="22"/>
      <c r="AI30" s="20">
        <f t="shared" si="7"/>
        <v>0</v>
      </c>
      <c r="AJ30" s="21"/>
      <c r="AK30" s="22"/>
      <c r="AL30" s="35"/>
      <c r="AM30" s="36"/>
      <c r="AN30" s="37"/>
      <c r="AO30" s="38"/>
      <c r="AP30" s="39"/>
      <c r="AQ30" s="40"/>
      <c r="AR30" s="20" t="e">
        <f t="shared" si="8"/>
        <v>#DIV/0!</v>
      </c>
      <c r="AS30" s="21"/>
      <c r="AT30" s="22"/>
      <c r="AU30" s="20"/>
      <c r="AV30" s="21"/>
      <c r="AW30" s="22"/>
      <c r="AX30" s="20" t="e">
        <f t="shared" si="9"/>
        <v>#DIV/0!</v>
      </c>
      <c r="AY30" s="21"/>
      <c r="AZ30" s="21"/>
      <c r="BA30" s="17" t="e">
        <f t="shared" si="10"/>
        <v>#DIV/0!</v>
      </c>
    </row>
    <row r="31" spans="1:55" x14ac:dyDescent="0.25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6"/>
        <v>#DIV/0!</v>
      </c>
      <c r="AG31" s="21"/>
      <c r="AH31" s="22"/>
      <c r="AI31" s="20">
        <f t="shared" si="7"/>
        <v>0</v>
      </c>
      <c r="AJ31" s="21"/>
      <c r="AK31" s="22"/>
      <c r="AL31" s="35"/>
      <c r="AM31" s="36"/>
      <c r="AN31" s="37"/>
      <c r="AO31" s="38"/>
      <c r="AP31" s="39"/>
      <c r="AQ31" s="40"/>
      <c r="AR31" s="20" t="e">
        <f t="shared" si="8"/>
        <v>#DIV/0!</v>
      </c>
      <c r="AS31" s="21"/>
      <c r="AT31" s="22"/>
      <c r="AU31" s="20"/>
      <c r="AV31" s="21"/>
      <c r="AW31" s="22"/>
      <c r="AX31" s="20" t="e">
        <f t="shared" si="9"/>
        <v>#DIV/0!</v>
      </c>
      <c r="AY31" s="21"/>
      <c r="AZ31" s="21"/>
      <c r="BA31" s="17" t="e">
        <f t="shared" si="10"/>
        <v>#DIV/0!</v>
      </c>
    </row>
    <row r="32" spans="1:55" x14ac:dyDescent="0.25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6"/>
        <v>#DIV/0!</v>
      </c>
      <c r="AG32" s="21"/>
      <c r="AH32" s="22"/>
      <c r="AI32" s="20">
        <f t="shared" si="7"/>
        <v>0</v>
      </c>
      <c r="AJ32" s="21"/>
      <c r="AK32" s="22"/>
      <c r="AL32" s="35"/>
      <c r="AM32" s="36"/>
      <c r="AN32" s="37"/>
      <c r="AO32" s="38"/>
      <c r="AP32" s="39"/>
      <c r="AQ32" s="40"/>
      <c r="AR32" s="20" t="e">
        <f t="shared" si="8"/>
        <v>#DIV/0!</v>
      </c>
      <c r="AS32" s="21"/>
      <c r="AT32" s="22"/>
      <c r="AU32" s="20"/>
      <c r="AV32" s="21"/>
      <c r="AW32" s="22"/>
      <c r="AX32" s="20" t="e">
        <f t="shared" si="9"/>
        <v>#DIV/0!</v>
      </c>
      <c r="AY32" s="21"/>
      <c r="AZ32" s="21"/>
      <c r="BA32" s="17" t="e">
        <f t="shared" si="10"/>
        <v>#DIV/0!</v>
      </c>
    </row>
  </sheetData>
  <mergeCells count="98">
    <mergeCell ref="AR24:AT24"/>
    <mergeCell ref="AR27:AT27"/>
    <mergeCell ref="AR26:AT26"/>
    <mergeCell ref="AR20:AT20"/>
    <mergeCell ref="AR25:AT25"/>
    <mergeCell ref="AR23:AT23"/>
    <mergeCell ref="AR22:AT22"/>
    <mergeCell ref="AR21:AT21"/>
    <mergeCell ref="AU27:AW27"/>
    <mergeCell ref="AU22:AW22"/>
    <mergeCell ref="AU24:AW24"/>
    <mergeCell ref="AU25:AW25"/>
    <mergeCell ref="AU21:AW21"/>
    <mergeCell ref="AU23:AW23"/>
    <mergeCell ref="AU20:AW20"/>
    <mergeCell ref="AU26:AW26"/>
    <mergeCell ref="AX21:AZ21"/>
    <mergeCell ref="AX22:AZ22"/>
    <mergeCell ref="AX26:AZ26"/>
    <mergeCell ref="AX25:AZ25"/>
    <mergeCell ref="AX23:AZ23"/>
    <mergeCell ref="AX24:AZ24"/>
    <mergeCell ref="AX20:AZ20"/>
    <mergeCell ref="AX27:AZ27"/>
    <mergeCell ref="AU28:AW28"/>
    <mergeCell ref="AR28:AT28"/>
    <mergeCell ref="AX28:AZ28"/>
    <mergeCell ref="A1:AZ1"/>
    <mergeCell ref="A2:A3"/>
    <mergeCell ref="B2:B3"/>
    <mergeCell ref="A18:L18"/>
    <mergeCell ref="O18:X18"/>
    <mergeCell ref="A19:A20"/>
    <mergeCell ref="B19:B20"/>
    <mergeCell ref="AL20:AN20"/>
    <mergeCell ref="AO20:AQ20"/>
    <mergeCell ref="AI20:AK20"/>
    <mergeCell ref="AF20:AH20"/>
    <mergeCell ref="AI21:AK21"/>
    <mergeCell ref="AL21:AN21"/>
    <mergeCell ref="AF21:AH21"/>
    <mergeCell ref="AO21:AQ21"/>
    <mergeCell ref="AL22:AN22"/>
    <mergeCell ref="AO22:AQ22"/>
    <mergeCell ref="AI22:AK22"/>
    <mergeCell ref="AF22:AH22"/>
    <mergeCell ref="AL23:AN23"/>
    <mergeCell ref="AI23:AK23"/>
    <mergeCell ref="AF23:AH23"/>
    <mergeCell ref="AO23:AQ23"/>
    <mergeCell ref="AF24:AH24"/>
    <mergeCell ref="AI24:AK24"/>
    <mergeCell ref="AL24:AN24"/>
    <mergeCell ref="AO24:AQ24"/>
    <mergeCell ref="AI25:AK25"/>
    <mergeCell ref="AF25:AH25"/>
    <mergeCell ref="AL25:AN25"/>
    <mergeCell ref="AO25:AQ25"/>
    <mergeCell ref="AI26:AK26"/>
    <mergeCell ref="AL26:AN26"/>
    <mergeCell ref="AO26:AQ26"/>
    <mergeCell ref="AF26:AH26"/>
    <mergeCell ref="AL27:AN27"/>
    <mergeCell ref="AO27:AQ27"/>
    <mergeCell ref="AI27:AK27"/>
    <mergeCell ref="AF27:AH27"/>
    <mergeCell ref="AI28:AK28"/>
    <mergeCell ref="AF28:AH28"/>
    <mergeCell ref="AL28:AN28"/>
    <mergeCell ref="AO28:AQ28"/>
    <mergeCell ref="AX29:AZ29"/>
    <mergeCell ref="AL30:AN30"/>
    <mergeCell ref="AF30:AH30"/>
    <mergeCell ref="AO30:AQ30"/>
    <mergeCell ref="AR30:AT30"/>
    <mergeCell ref="AU30:AW30"/>
    <mergeCell ref="AI30:AK30"/>
    <mergeCell ref="AX30:AZ30"/>
    <mergeCell ref="AU29:AW29"/>
    <mergeCell ref="AI29:AK29"/>
    <mergeCell ref="AL29:AN29"/>
    <mergeCell ref="AR29:AT29"/>
    <mergeCell ref="AF29:AH29"/>
    <mergeCell ref="AO29:AQ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BA21:BA32">
    <cfRule type="cellIs" dxfId="27" priority="2" operator="equal">
      <formula>5</formula>
    </cfRule>
    <cfRule type="cellIs" dxfId="26" priority="5" operator="equal">
      <formula>4</formula>
    </cfRule>
    <cfRule type="cellIs" dxfId="25" priority="7" operator="equal">
      <formula>3</formula>
    </cfRule>
    <cfRule type="cellIs" dxfId="24" priority="11" operator="equal">
      <formula>2</formula>
    </cfRule>
  </conditionalFormatting>
  <conditionalFormatting sqref="C4:AF15">
    <cfRule type="cellIs" dxfId="23" priority="14" operator="equal">
      <formula>3</formula>
    </cfRule>
    <cfRule type="cellIs" dxfId="22" priority="16" operator="greaterThan">
      <formula>3</formula>
    </cfRule>
    <cfRule type="cellIs" dxfId="21" priority="19" operator="equal">
      <formula>0</formula>
    </cfRule>
  </conditionalFormatting>
  <conditionalFormatting sqref="C20">
    <cfRule type="cellIs" dxfId="20" priority="24" operator="equal">
      <formula>$C$19</formula>
    </cfRule>
    <cfRule type="cellIs" dxfId="19" priority="26" operator="equal">
      <formula>$C$19</formula>
    </cfRule>
  </conditionalFormatting>
  <conditionalFormatting sqref="C20:L20">
    <cfRule type="cellIs" dxfId="18" priority="30" operator="equal">
      <formula>1</formula>
    </cfRule>
  </conditionalFormatting>
  <conditionalFormatting sqref="C19:L19">
    <cfRule type="cellIs" dxfId="17" priority="32" operator="equal">
      <formula>1</formula>
    </cfRule>
  </conditionalFormatting>
  <conditionalFormatting sqref="C2:AZ2">
    <cfRule type="cellIs" dxfId="16" priority="34" operator="equal">
      <formula>1</formula>
    </cfRule>
  </conditionalFormatting>
  <conditionalFormatting sqref="O19:X19">
    <cfRule type="cellIs" dxfId="15" priority="37" operator="equal">
      <formula>1</formula>
    </cfRule>
  </conditionalFormatting>
  <conditionalFormatting sqref="AR21:AT32">
    <cfRule type="cellIs" dxfId="14" priority="42" operator="lessThan">
      <formula>33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2"/>
  <sheetViews>
    <sheetView topLeftCell="A6" zoomScale="85" zoomScaleNormal="85" workbookViewId="0">
      <selection activeCell="AU21" sqref="AU21:AW21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 x14ac:dyDescent="0.25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4" t="s">
        <v>54</v>
      </c>
    </row>
    <row r="4" spans="1:54" x14ac:dyDescent="0.25">
      <c r="A4" s="6">
        <v>1</v>
      </c>
      <c r="B4" s="6" t="s">
        <v>94</v>
      </c>
      <c r="C4" s="7">
        <v>5</v>
      </c>
      <c r="D4" s="7">
        <v>5</v>
      </c>
      <c r="E4" s="7">
        <v>5</v>
      </c>
      <c r="F4" s="7">
        <v>5</v>
      </c>
      <c r="G4" s="7">
        <v>4</v>
      </c>
      <c r="H4" s="7"/>
      <c r="I4" s="7">
        <v>5</v>
      </c>
      <c r="J4" s="7">
        <v>5</v>
      </c>
      <c r="K4" s="7">
        <v>4</v>
      </c>
      <c r="L4" s="7">
        <v>5</v>
      </c>
      <c r="M4" s="8"/>
      <c r="N4" s="8">
        <v>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10</v>
      </c>
      <c r="BB4" s="9">
        <f t="shared" ref="BB4:BB15" si="1">SUM(C4:AZ4)</f>
        <v>47</v>
      </c>
    </row>
    <row r="5" spans="1:54" x14ac:dyDescent="0.25">
      <c r="A5" s="6">
        <v>2</v>
      </c>
      <c r="B5" s="6" t="s">
        <v>95</v>
      </c>
      <c r="C5" s="7">
        <v>5</v>
      </c>
      <c r="D5" s="7">
        <v>5</v>
      </c>
      <c r="E5" s="7">
        <v>5</v>
      </c>
      <c r="F5" s="7">
        <v>5</v>
      </c>
      <c r="G5" s="7"/>
      <c r="H5" s="7">
        <v>5</v>
      </c>
      <c r="I5" s="7">
        <v>4</v>
      </c>
      <c r="J5" s="7">
        <v>5</v>
      </c>
      <c r="K5" s="7">
        <v>5</v>
      </c>
      <c r="L5" s="7"/>
      <c r="M5" s="8">
        <v>5</v>
      </c>
      <c r="N5" s="8">
        <v>5</v>
      </c>
      <c r="O5" s="8">
        <v>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11</v>
      </c>
      <c r="BB5" s="9">
        <f t="shared" si="1"/>
        <v>54</v>
      </c>
    </row>
    <row r="6" spans="1:54" x14ac:dyDescent="0.25">
      <c r="A6" s="6">
        <v>3</v>
      </c>
      <c r="B6" s="6" t="s">
        <v>96</v>
      </c>
      <c r="C6" s="7">
        <v>5</v>
      </c>
      <c r="D6" s="7">
        <v>5</v>
      </c>
      <c r="E6" s="7">
        <v>5</v>
      </c>
      <c r="F6" s="7"/>
      <c r="G6" s="7">
        <v>5</v>
      </c>
      <c r="H6" s="7">
        <v>5</v>
      </c>
      <c r="I6" s="7">
        <v>5</v>
      </c>
      <c r="J6" s="7">
        <v>4</v>
      </c>
      <c r="K6" s="7">
        <v>5</v>
      </c>
      <c r="L6" s="7">
        <v>4</v>
      </c>
      <c r="M6" s="8">
        <v>5</v>
      </c>
      <c r="N6" s="8">
        <v>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11</v>
      </c>
      <c r="BB6" s="9">
        <f t="shared" si="1"/>
        <v>52</v>
      </c>
    </row>
    <row r="7" spans="1:54" x14ac:dyDescent="0.25">
      <c r="A7" s="6">
        <v>4</v>
      </c>
      <c r="B7" s="6" t="s">
        <v>97</v>
      </c>
      <c r="C7" s="7">
        <v>5</v>
      </c>
      <c r="D7" s="7">
        <v>5</v>
      </c>
      <c r="E7" s="7">
        <v>5</v>
      </c>
      <c r="F7" s="7"/>
      <c r="G7" s="7">
        <v>5</v>
      </c>
      <c r="H7" s="7">
        <v>5</v>
      </c>
      <c r="I7" s="7">
        <v>5</v>
      </c>
      <c r="J7" s="7">
        <v>5</v>
      </c>
      <c r="K7" s="7"/>
      <c r="L7" s="7">
        <v>5</v>
      </c>
      <c r="M7" s="8">
        <v>4</v>
      </c>
      <c r="N7" s="8">
        <v>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10</v>
      </c>
      <c r="BB7" s="9">
        <f t="shared" si="1"/>
        <v>49</v>
      </c>
    </row>
    <row r="8" spans="1:54" x14ac:dyDescent="0.25">
      <c r="A8" s="6">
        <v>5</v>
      </c>
      <c r="B8" s="6" t="s">
        <v>98</v>
      </c>
      <c r="C8" s="7">
        <v>5</v>
      </c>
      <c r="D8" s="7">
        <v>4</v>
      </c>
      <c r="E8" s="7">
        <v>5</v>
      </c>
      <c r="F8" s="7">
        <v>5</v>
      </c>
      <c r="G8" s="7">
        <v>5</v>
      </c>
      <c r="H8" s="7">
        <v>4</v>
      </c>
      <c r="I8" s="7">
        <v>5</v>
      </c>
      <c r="J8" s="7">
        <v>5</v>
      </c>
      <c r="K8" s="7">
        <v>4</v>
      </c>
      <c r="L8" s="7"/>
      <c r="M8" s="8">
        <v>5</v>
      </c>
      <c r="N8" s="8">
        <v>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11</v>
      </c>
      <c r="BB8" s="9">
        <f t="shared" si="1"/>
        <v>52</v>
      </c>
    </row>
    <row r="9" spans="1:54" x14ac:dyDescent="0.25">
      <c r="A9" s="6">
        <v>6</v>
      </c>
      <c r="B9" s="6" t="s">
        <v>99</v>
      </c>
      <c r="C9" s="7">
        <v>5</v>
      </c>
      <c r="D9" s="7">
        <v>5</v>
      </c>
      <c r="E9" s="7">
        <v>5</v>
      </c>
      <c r="F9" s="7">
        <v>4</v>
      </c>
      <c r="G9" s="7">
        <v>5</v>
      </c>
      <c r="H9" s="7">
        <v>5</v>
      </c>
      <c r="I9" s="7"/>
      <c r="J9" s="7">
        <v>5</v>
      </c>
      <c r="K9" s="7">
        <v>4</v>
      </c>
      <c r="L9" s="7">
        <v>5</v>
      </c>
      <c r="M9" s="8">
        <v>4</v>
      </c>
      <c r="N9" s="8">
        <v>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11</v>
      </c>
      <c r="BB9" s="9">
        <f t="shared" si="1"/>
        <v>51</v>
      </c>
    </row>
    <row r="10" spans="1:54" x14ac:dyDescent="0.25">
      <c r="A10" s="6">
        <v>7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0</v>
      </c>
      <c r="BB10" s="9">
        <f t="shared" si="1"/>
        <v>0</v>
      </c>
    </row>
    <row r="11" spans="1:54" x14ac:dyDescent="0.25">
      <c r="A11" s="6">
        <v>8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0</v>
      </c>
      <c r="BB11" s="9">
        <f t="shared" si="1"/>
        <v>0</v>
      </c>
    </row>
    <row r="12" spans="1:54" x14ac:dyDescent="0.25">
      <c r="A12" s="6">
        <v>9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0</v>
      </c>
      <c r="BB12" s="9">
        <f t="shared" si="1"/>
        <v>0</v>
      </c>
    </row>
    <row r="13" spans="1:54" x14ac:dyDescent="0.25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x14ac:dyDescent="0.25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x14ac:dyDescent="0.25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7" spans="1:55" x14ac:dyDescent="0.25">
      <c r="AK17" s="10"/>
      <c r="AL17" s="11"/>
      <c r="AM17" s="11"/>
      <c r="AN17" s="11"/>
      <c r="AO17" s="11"/>
      <c r="AP17" s="11"/>
      <c r="AQ17" s="11"/>
      <c r="AR17" s="11"/>
      <c r="AS17" s="10"/>
    </row>
    <row r="18" spans="1:55" x14ac:dyDescent="0.25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25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67.5" x14ac:dyDescent="0.25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103</v>
      </c>
      <c r="AG20" s="24"/>
      <c r="AH20" s="25"/>
      <c r="AI20" s="31" t="s">
        <v>104</v>
      </c>
      <c r="AJ20" s="24"/>
      <c r="AK20" s="25"/>
      <c r="AL20" s="41"/>
      <c r="AM20" s="39"/>
      <c r="AN20" s="40"/>
      <c r="AO20" s="42"/>
      <c r="AP20" s="39"/>
      <c r="AQ20" s="40"/>
      <c r="AR20" s="31" t="s">
        <v>105</v>
      </c>
      <c r="AS20" s="24"/>
      <c r="AT20" s="25"/>
      <c r="AU20" s="33" t="s">
        <v>106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x14ac:dyDescent="0.25">
      <c r="A21" s="16">
        <v>1</v>
      </c>
      <c r="B21" s="6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4</v>
      </c>
      <c r="P21" s="8">
        <v>5</v>
      </c>
      <c r="Q21" s="8">
        <v>3</v>
      </c>
      <c r="R21" s="8">
        <v>4</v>
      </c>
      <c r="S21" s="8"/>
      <c r="T21" s="8"/>
      <c r="U21" s="8"/>
      <c r="V21" s="8"/>
      <c r="W21" s="8"/>
      <c r="X21" s="8"/>
      <c r="Y21" s="8">
        <f t="shared" ref="Y21:Y32" si="4">COUNTIF(O21:X21,"&gt;0")</f>
        <v>4</v>
      </c>
      <c r="Z21" s="8">
        <f t="shared" ref="Z21:Z32" si="5">SUM(O21:X21)</f>
        <v>16</v>
      </c>
      <c r="AF21" s="20">
        <f>ROUND((N21+BB4)/(M21+BA4)*12,0)</f>
        <v>56</v>
      </c>
      <c r="AG21" s="21"/>
      <c r="AH21" s="22"/>
      <c r="AI21" s="20">
        <f>ROUND(Z21/$Y$19*8,0)</f>
        <v>32</v>
      </c>
      <c r="AJ21" s="21"/>
      <c r="AK21" s="22"/>
      <c r="AL21" s="35"/>
      <c r="AM21" s="36"/>
      <c r="AN21" s="37"/>
      <c r="AO21" s="38"/>
      <c r="AP21" s="39"/>
      <c r="AQ21" s="40"/>
      <c r="AR21" s="20">
        <f>AF21+AI21</f>
        <v>88</v>
      </c>
      <c r="AS21" s="21"/>
      <c r="AT21" s="22"/>
      <c r="AU21" s="20"/>
      <c r="AV21" s="21"/>
      <c r="AW21" s="22"/>
      <c r="AX21" s="20">
        <f>ROUND(SUM(AR21:AW21),0)</f>
        <v>88</v>
      </c>
      <c r="AY21" s="21"/>
      <c r="AZ21" s="21"/>
      <c r="BA21" s="17">
        <f>IF(AND(AX21&gt;=0,AX21&lt;55),2,IF(AND(AX21&gt;=55,AX21&lt;71),3,IF(AND(AX21&gt;=71,AX21&lt;86),4,IF(AND(AX21&gt;=86,AX20&lt;=100),5,5))))</f>
        <v>5</v>
      </c>
      <c r="BC21" s="18"/>
    </row>
    <row r="22" spans="1:55" x14ac:dyDescent="0.25">
      <c r="A22" s="6">
        <v>2</v>
      </c>
      <c r="B22" s="6" t="s">
        <v>95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5</v>
      </c>
      <c r="Q22" s="8">
        <v>3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4</v>
      </c>
      <c r="Z22" s="8">
        <f t="shared" si="5"/>
        <v>16</v>
      </c>
      <c r="AF22" s="20">
        <f t="shared" ref="AF22:AF26" si="6">ROUND((N22+BB5)/(M22+BA5)*12,0)</f>
        <v>59</v>
      </c>
      <c r="AG22" s="21"/>
      <c r="AH22" s="22"/>
      <c r="AI22" s="20">
        <f t="shared" ref="AI22:AI26" si="7">ROUND(Z22/$Y$19*8,0)</f>
        <v>32</v>
      </c>
      <c r="AJ22" s="21"/>
      <c r="AK22" s="22"/>
      <c r="AL22" s="35"/>
      <c r="AM22" s="36"/>
      <c r="AN22" s="37"/>
      <c r="AO22" s="38"/>
      <c r="AP22" s="39"/>
      <c r="AQ22" s="40"/>
      <c r="AR22" s="20">
        <f t="shared" ref="AR22:AR32" si="8">AF22+AI22</f>
        <v>91</v>
      </c>
      <c r="AS22" s="21"/>
      <c r="AT22" s="22"/>
      <c r="AU22" s="20"/>
      <c r="AV22" s="21"/>
      <c r="AW22" s="22"/>
      <c r="AX22" s="20">
        <f t="shared" ref="AX22:AX32" si="9">ROUND(SUM(AR22:AW22),0)</f>
        <v>91</v>
      </c>
      <c r="AY22" s="21"/>
      <c r="AZ22" s="21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6">
        <v>3</v>
      </c>
      <c r="B23" s="6" t="s">
        <v>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4</v>
      </c>
      <c r="Q23" s="8">
        <v>3</v>
      </c>
      <c r="R23" s="8">
        <v>4</v>
      </c>
      <c r="S23" s="8"/>
      <c r="T23" s="8"/>
      <c r="U23" s="8"/>
      <c r="V23" s="8"/>
      <c r="W23" s="8"/>
      <c r="X23" s="8"/>
      <c r="Y23" s="8">
        <f t="shared" si="4"/>
        <v>4</v>
      </c>
      <c r="Z23" s="8">
        <f t="shared" si="5"/>
        <v>16</v>
      </c>
      <c r="AF23" s="20">
        <f t="shared" si="6"/>
        <v>57</v>
      </c>
      <c r="AG23" s="21"/>
      <c r="AH23" s="22"/>
      <c r="AI23" s="20">
        <f t="shared" si="7"/>
        <v>32</v>
      </c>
      <c r="AJ23" s="21"/>
      <c r="AK23" s="22"/>
      <c r="AL23" s="35"/>
      <c r="AM23" s="36"/>
      <c r="AN23" s="37"/>
      <c r="AO23" s="38"/>
      <c r="AP23" s="39"/>
      <c r="AQ23" s="40"/>
      <c r="AR23" s="20">
        <f t="shared" si="8"/>
        <v>89</v>
      </c>
      <c r="AS23" s="21"/>
      <c r="AT23" s="22"/>
      <c r="AU23" s="20"/>
      <c r="AV23" s="21"/>
      <c r="AW23" s="22"/>
      <c r="AX23" s="20">
        <f t="shared" si="9"/>
        <v>89</v>
      </c>
      <c r="AY23" s="21"/>
      <c r="AZ23" s="21"/>
      <c r="BA23" s="17">
        <f t="shared" si="10"/>
        <v>5</v>
      </c>
    </row>
    <row r="24" spans="1:55" x14ac:dyDescent="0.25">
      <c r="A24" s="6">
        <v>4</v>
      </c>
      <c r="B24" s="6" t="s">
        <v>97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5</v>
      </c>
      <c r="Q24" s="8">
        <v>4</v>
      </c>
      <c r="R24" s="8">
        <v>3</v>
      </c>
      <c r="S24" s="8"/>
      <c r="T24" s="8"/>
      <c r="U24" s="8"/>
      <c r="V24" s="8"/>
      <c r="W24" s="8"/>
      <c r="X24" s="8"/>
      <c r="Y24" s="8">
        <f t="shared" si="4"/>
        <v>4</v>
      </c>
      <c r="Z24" s="8">
        <f t="shared" si="5"/>
        <v>17</v>
      </c>
      <c r="AF24" s="20">
        <f t="shared" si="6"/>
        <v>59</v>
      </c>
      <c r="AG24" s="21"/>
      <c r="AH24" s="22"/>
      <c r="AI24" s="20">
        <f t="shared" si="7"/>
        <v>34</v>
      </c>
      <c r="AJ24" s="21"/>
      <c r="AK24" s="22"/>
      <c r="AL24" s="35"/>
      <c r="AM24" s="36"/>
      <c r="AN24" s="37"/>
      <c r="AO24" s="38"/>
      <c r="AP24" s="39"/>
      <c r="AQ24" s="40"/>
      <c r="AR24" s="20">
        <f t="shared" si="8"/>
        <v>93</v>
      </c>
      <c r="AS24" s="21"/>
      <c r="AT24" s="22"/>
      <c r="AU24" s="20"/>
      <c r="AV24" s="21"/>
      <c r="AW24" s="22"/>
      <c r="AX24" s="20">
        <f t="shared" si="9"/>
        <v>93</v>
      </c>
      <c r="AY24" s="21"/>
      <c r="AZ24" s="21"/>
      <c r="BA24" s="17">
        <f t="shared" si="10"/>
        <v>5</v>
      </c>
    </row>
    <row r="25" spans="1:55" x14ac:dyDescent="0.25">
      <c r="A25" s="6">
        <v>5</v>
      </c>
      <c r="B25" s="6" t="s">
        <v>98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4</v>
      </c>
      <c r="P25" s="8">
        <v>4</v>
      </c>
      <c r="Q25" s="8">
        <v>3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15</v>
      </c>
      <c r="AF25" s="20">
        <f t="shared" si="6"/>
        <v>57</v>
      </c>
      <c r="AG25" s="21"/>
      <c r="AH25" s="22"/>
      <c r="AI25" s="20">
        <f t="shared" si="7"/>
        <v>30</v>
      </c>
      <c r="AJ25" s="21"/>
      <c r="AK25" s="22"/>
      <c r="AL25" s="35"/>
      <c r="AM25" s="36"/>
      <c r="AN25" s="37"/>
      <c r="AO25" s="38"/>
      <c r="AP25" s="39"/>
      <c r="AQ25" s="40"/>
      <c r="AR25" s="20">
        <f t="shared" si="8"/>
        <v>87</v>
      </c>
      <c r="AS25" s="21"/>
      <c r="AT25" s="22"/>
      <c r="AU25" s="20"/>
      <c r="AV25" s="21"/>
      <c r="AW25" s="22"/>
      <c r="AX25" s="20">
        <f t="shared" si="9"/>
        <v>87</v>
      </c>
      <c r="AY25" s="21"/>
      <c r="AZ25" s="21"/>
      <c r="BA25" s="17">
        <f t="shared" si="10"/>
        <v>5</v>
      </c>
    </row>
    <row r="26" spans="1:55" x14ac:dyDescent="0.25">
      <c r="A26" s="6">
        <v>6</v>
      </c>
      <c r="B26" s="6" t="s">
        <v>99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4</v>
      </c>
      <c r="Q26" s="8">
        <v>4</v>
      </c>
      <c r="R26" s="8">
        <v>3</v>
      </c>
      <c r="S26" s="8"/>
      <c r="T26" s="8"/>
      <c r="U26" s="8"/>
      <c r="V26" s="8"/>
      <c r="W26" s="8"/>
      <c r="X26" s="8"/>
      <c r="Y26" s="8">
        <f t="shared" si="4"/>
        <v>4</v>
      </c>
      <c r="Z26" s="8">
        <f t="shared" si="5"/>
        <v>16</v>
      </c>
      <c r="AF26" s="20">
        <f t="shared" si="6"/>
        <v>56</v>
      </c>
      <c r="AG26" s="21"/>
      <c r="AH26" s="22"/>
      <c r="AI26" s="20">
        <f t="shared" si="7"/>
        <v>32</v>
      </c>
      <c r="AJ26" s="21"/>
      <c r="AK26" s="22"/>
      <c r="AL26" s="35"/>
      <c r="AM26" s="36"/>
      <c r="AN26" s="37"/>
      <c r="AO26" s="38"/>
      <c r="AP26" s="39"/>
      <c r="AQ26" s="40"/>
      <c r="AR26" s="20">
        <f t="shared" si="8"/>
        <v>88</v>
      </c>
      <c r="AS26" s="21"/>
      <c r="AT26" s="22"/>
      <c r="AU26" s="20"/>
      <c r="AV26" s="21"/>
      <c r="AW26" s="22"/>
      <c r="AX26" s="20">
        <f t="shared" si="9"/>
        <v>88</v>
      </c>
      <c r="AY26" s="21"/>
      <c r="AZ26" s="21"/>
      <c r="BA26" s="17">
        <f t="shared" si="10"/>
        <v>5</v>
      </c>
    </row>
    <row r="27" spans="1:55" x14ac:dyDescent="0.25">
      <c r="A27" s="6">
        <v>7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>
        <f t="shared" si="4"/>
        <v>0</v>
      </c>
      <c r="Z27" s="8">
        <f t="shared" si="5"/>
        <v>0</v>
      </c>
      <c r="AF27" s="20" t="e">
        <f t="shared" ref="AF27:AF32" si="11">ROUND((N27+BB10)/(M27+BA10)*8,0)</f>
        <v>#DIV/0!</v>
      </c>
      <c r="AG27" s="21"/>
      <c r="AH27" s="22"/>
      <c r="AI27" s="20">
        <f t="shared" ref="AI27:AI32" si="12">ROUND(Z27/$Y$19*4,0)</f>
        <v>0</v>
      </c>
      <c r="AJ27" s="21"/>
      <c r="AK27" s="22"/>
      <c r="AL27" s="35"/>
      <c r="AM27" s="36"/>
      <c r="AN27" s="37"/>
      <c r="AO27" s="38"/>
      <c r="AP27" s="39"/>
      <c r="AQ27" s="40"/>
      <c r="AR27" s="20" t="e">
        <f t="shared" si="8"/>
        <v>#DIV/0!</v>
      </c>
      <c r="AS27" s="21"/>
      <c r="AT27" s="22"/>
      <c r="AU27" s="20"/>
      <c r="AV27" s="21"/>
      <c r="AW27" s="22"/>
      <c r="AX27" s="20" t="e">
        <f t="shared" si="9"/>
        <v>#DIV/0!</v>
      </c>
      <c r="AY27" s="21"/>
      <c r="AZ27" s="21"/>
      <c r="BA27" s="17" t="e">
        <f t="shared" si="10"/>
        <v>#DIV/0!</v>
      </c>
    </row>
    <row r="28" spans="1:55" x14ac:dyDescent="0.25">
      <c r="A28" s="6">
        <v>8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f t="shared" si="4"/>
        <v>0</v>
      </c>
      <c r="Z28" s="8">
        <f t="shared" si="5"/>
        <v>0</v>
      </c>
      <c r="AF28" s="20" t="e">
        <f t="shared" si="11"/>
        <v>#DIV/0!</v>
      </c>
      <c r="AG28" s="21"/>
      <c r="AH28" s="22"/>
      <c r="AI28" s="20">
        <f t="shared" si="12"/>
        <v>0</v>
      </c>
      <c r="AJ28" s="21"/>
      <c r="AK28" s="22"/>
      <c r="AL28" s="35"/>
      <c r="AM28" s="36"/>
      <c r="AN28" s="37"/>
      <c r="AO28" s="38"/>
      <c r="AP28" s="39"/>
      <c r="AQ28" s="40"/>
      <c r="AR28" s="20" t="e">
        <f t="shared" si="8"/>
        <v>#DIV/0!</v>
      </c>
      <c r="AS28" s="21"/>
      <c r="AT28" s="22"/>
      <c r="AU28" s="20"/>
      <c r="AV28" s="21"/>
      <c r="AW28" s="22"/>
      <c r="AX28" s="20" t="e">
        <f t="shared" si="9"/>
        <v>#DIV/0!</v>
      </c>
      <c r="AY28" s="21"/>
      <c r="AZ28" s="21"/>
      <c r="BA28" s="17" t="e">
        <f t="shared" si="10"/>
        <v>#DIV/0!</v>
      </c>
    </row>
    <row r="29" spans="1:55" x14ac:dyDescent="0.25">
      <c r="A29" s="6">
        <v>9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>
        <f t="shared" si="4"/>
        <v>0</v>
      </c>
      <c r="Z29" s="8">
        <f t="shared" si="5"/>
        <v>0</v>
      </c>
      <c r="AF29" s="20" t="e">
        <f t="shared" si="11"/>
        <v>#DIV/0!</v>
      </c>
      <c r="AG29" s="21"/>
      <c r="AH29" s="22"/>
      <c r="AI29" s="20">
        <f t="shared" si="12"/>
        <v>0</v>
      </c>
      <c r="AJ29" s="21"/>
      <c r="AK29" s="22"/>
      <c r="AL29" s="35"/>
      <c r="AM29" s="36"/>
      <c r="AN29" s="37"/>
      <c r="AO29" s="38"/>
      <c r="AP29" s="39"/>
      <c r="AQ29" s="40"/>
      <c r="AR29" s="20" t="e">
        <f t="shared" si="8"/>
        <v>#DIV/0!</v>
      </c>
      <c r="AS29" s="21"/>
      <c r="AT29" s="22"/>
      <c r="AU29" s="20"/>
      <c r="AV29" s="21"/>
      <c r="AW29" s="22"/>
      <c r="AX29" s="20" t="e">
        <f t="shared" si="9"/>
        <v>#DIV/0!</v>
      </c>
      <c r="AY29" s="21"/>
      <c r="AZ29" s="21"/>
      <c r="BA29" s="17" t="e">
        <f t="shared" si="10"/>
        <v>#DIV/0!</v>
      </c>
    </row>
    <row r="30" spans="1:55" x14ac:dyDescent="0.25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11"/>
        <v>#DIV/0!</v>
      </c>
      <c r="AG30" s="21"/>
      <c r="AH30" s="22"/>
      <c r="AI30" s="20">
        <f t="shared" si="12"/>
        <v>0</v>
      </c>
      <c r="AJ30" s="21"/>
      <c r="AK30" s="22"/>
      <c r="AL30" s="35"/>
      <c r="AM30" s="36"/>
      <c r="AN30" s="37"/>
      <c r="AO30" s="38"/>
      <c r="AP30" s="39"/>
      <c r="AQ30" s="40"/>
      <c r="AR30" s="20" t="e">
        <f t="shared" si="8"/>
        <v>#DIV/0!</v>
      </c>
      <c r="AS30" s="21"/>
      <c r="AT30" s="22"/>
      <c r="AU30" s="20"/>
      <c r="AV30" s="21"/>
      <c r="AW30" s="22"/>
      <c r="AX30" s="20" t="e">
        <f t="shared" si="9"/>
        <v>#DIV/0!</v>
      </c>
      <c r="AY30" s="21"/>
      <c r="AZ30" s="21"/>
      <c r="BA30" s="17" t="e">
        <f t="shared" si="10"/>
        <v>#DIV/0!</v>
      </c>
    </row>
    <row r="31" spans="1:55" x14ac:dyDescent="0.25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11"/>
        <v>#DIV/0!</v>
      </c>
      <c r="AG31" s="21"/>
      <c r="AH31" s="22"/>
      <c r="AI31" s="20">
        <f t="shared" si="12"/>
        <v>0</v>
      </c>
      <c r="AJ31" s="21"/>
      <c r="AK31" s="22"/>
      <c r="AL31" s="35"/>
      <c r="AM31" s="36"/>
      <c r="AN31" s="37"/>
      <c r="AO31" s="38"/>
      <c r="AP31" s="39"/>
      <c r="AQ31" s="40"/>
      <c r="AR31" s="20" t="e">
        <f t="shared" si="8"/>
        <v>#DIV/0!</v>
      </c>
      <c r="AS31" s="21"/>
      <c r="AT31" s="22"/>
      <c r="AU31" s="20"/>
      <c r="AV31" s="21"/>
      <c r="AW31" s="22"/>
      <c r="AX31" s="20" t="e">
        <f t="shared" si="9"/>
        <v>#DIV/0!</v>
      </c>
      <c r="AY31" s="21"/>
      <c r="AZ31" s="21"/>
      <c r="BA31" s="17" t="e">
        <f t="shared" si="10"/>
        <v>#DIV/0!</v>
      </c>
    </row>
    <row r="32" spans="1:55" x14ac:dyDescent="0.25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11"/>
        <v>#DIV/0!</v>
      </c>
      <c r="AG32" s="21"/>
      <c r="AH32" s="22"/>
      <c r="AI32" s="20">
        <f t="shared" si="12"/>
        <v>0</v>
      </c>
      <c r="AJ32" s="21"/>
      <c r="AK32" s="22"/>
      <c r="AL32" s="35"/>
      <c r="AM32" s="36"/>
      <c r="AN32" s="37"/>
      <c r="AO32" s="38"/>
      <c r="AP32" s="39"/>
      <c r="AQ32" s="40"/>
      <c r="AR32" s="20" t="e">
        <f t="shared" si="8"/>
        <v>#DIV/0!</v>
      </c>
      <c r="AS32" s="21"/>
      <c r="AT32" s="22"/>
      <c r="AU32" s="20"/>
      <c r="AV32" s="21"/>
      <c r="AW32" s="22"/>
      <c r="AX32" s="20" t="e">
        <f t="shared" si="9"/>
        <v>#DIV/0!</v>
      </c>
      <c r="AY32" s="21"/>
      <c r="AZ32" s="21"/>
      <c r="BA32" s="17" t="e">
        <f t="shared" si="10"/>
        <v>#DIV/0!</v>
      </c>
    </row>
  </sheetData>
  <mergeCells count="98">
    <mergeCell ref="AR24:AT24"/>
    <mergeCell ref="AR27:AT27"/>
    <mergeCell ref="AR26:AT26"/>
    <mergeCell ref="AR20:AT20"/>
    <mergeCell ref="AR25:AT25"/>
    <mergeCell ref="AR23:AT23"/>
    <mergeCell ref="AR22:AT22"/>
    <mergeCell ref="AR21:AT21"/>
    <mergeCell ref="AU27:AW27"/>
    <mergeCell ref="AU22:AW22"/>
    <mergeCell ref="AU24:AW24"/>
    <mergeCell ref="AU25:AW25"/>
    <mergeCell ref="AU21:AW21"/>
    <mergeCell ref="AU23:AW23"/>
    <mergeCell ref="AU20:AW20"/>
    <mergeCell ref="AU26:AW26"/>
    <mergeCell ref="AX21:AZ21"/>
    <mergeCell ref="AX22:AZ22"/>
    <mergeCell ref="AX26:AZ26"/>
    <mergeCell ref="AX25:AZ25"/>
    <mergeCell ref="AX23:AZ23"/>
    <mergeCell ref="AX24:AZ24"/>
    <mergeCell ref="AX20:AZ20"/>
    <mergeCell ref="AX27:AZ27"/>
    <mergeCell ref="AU28:AW28"/>
    <mergeCell ref="AR28:AT28"/>
    <mergeCell ref="AX28:AZ28"/>
    <mergeCell ref="A1:AZ1"/>
    <mergeCell ref="A2:A3"/>
    <mergeCell ref="B2:B3"/>
    <mergeCell ref="A18:L18"/>
    <mergeCell ref="O18:X18"/>
    <mergeCell ref="A19:A20"/>
    <mergeCell ref="B19:B20"/>
    <mergeCell ref="AL20:AN20"/>
    <mergeCell ref="AO20:AQ20"/>
    <mergeCell ref="AI20:AK20"/>
    <mergeCell ref="AF20:AH20"/>
    <mergeCell ref="AI21:AK21"/>
    <mergeCell ref="AL21:AN21"/>
    <mergeCell ref="AF21:AH21"/>
    <mergeCell ref="AO21:AQ21"/>
    <mergeCell ref="AL22:AN22"/>
    <mergeCell ref="AO22:AQ22"/>
    <mergeCell ref="AI22:AK22"/>
    <mergeCell ref="AF22:AH22"/>
    <mergeCell ref="AL23:AN23"/>
    <mergeCell ref="AI23:AK23"/>
    <mergeCell ref="AF23:AH23"/>
    <mergeCell ref="AO23:AQ23"/>
    <mergeCell ref="AF24:AH24"/>
    <mergeCell ref="AI24:AK24"/>
    <mergeCell ref="AL24:AN24"/>
    <mergeCell ref="AO24:AQ24"/>
    <mergeCell ref="AI25:AK25"/>
    <mergeCell ref="AF25:AH25"/>
    <mergeCell ref="AL25:AN25"/>
    <mergeCell ref="AO25:AQ25"/>
    <mergeCell ref="AI26:AK26"/>
    <mergeCell ref="AL26:AN26"/>
    <mergeCell ref="AO26:AQ26"/>
    <mergeCell ref="AF26:AH26"/>
    <mergeCell ref="AL27:AN27"/>
    <mergeCell ref="AO27:AQ27"/>
    <mergeCell ref="AI27:AK27"/>
    <mergeCell ref="AF27:AH27"/>
    <mergeCell ref="AI28:AK28"/>
    <mergeCell ref="AF28:AH28"/>
    <mergeCell ref="AL28:AN28"/>
    <mergeCell ref="AO28:AQ28"/>
    <mergeCell ref="AX29:AZ29"/>
    <mergeCell ref="AL30:AN30"/>
    <mergeCell ref="AF30:AH30"/>
    <mergeCell ref="AO30:AQ30"/>
    <mergeCell ref="AR30:AT30"/>
    <mergeCell ref="AU30:AW30"/>
    <mergeCell ref="AI30:AK30"/>
    <mergeCell ref="AX30:AZ30"/>
    <mergeCell ref="AU29:AW29"/>
    <mergeCell ref="AI29:AK29"/>
    <mergeCell ref="AL29:AN29"/>
    <mergeCell ref="AR29:AT29"/>
    <mergeCell ref="AF29:AH29"/>
    <mergeCell ref="AO29:AQ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BA21:BA32">
    <cfRule type="cellIs" dxfId="13" priority="1" operator="equal">
      <formula>5</formula>
    </cfRule>
    <cfRule type="cellIs" dxfId="12" priority="4" operator="equal">
      <formula>4</formula>
    </cfRule>
    <cfRule type="cellIs" dxfId="11" priority="8" operator="equal">
      <formula>3</formula>
    </cfRule>
    <cfRule type="cellIs" dxfId="10" priority="10" operator="equal">
      <formula>2</formula>
    </cfRule>
  </conditionalFormatting>
  <conditionalFormatting sqref="C4:AF15">
    <cfRule type="cellIs" dxfId="9" priority="13" operator="equal">
      <formula>3</formula>
    </cfRule>
    <cfRule type="cellIs" dxfId="8" priority="18" operator="greaterThan">
      <formula>3</formula>
    </cfRule>
    <cfRule type="cellIs" dxfId="7" priority="21" operator="equal">
      <formula>0</formula>
    </cfRule>
  </conditionalFormatting>
  <conditionalFormatting sqref="C20">
    <cfRule type="cellIs" dxfId="6" priority="22" operator="equal">
      <formula>$C$19</formula>
    </cfRule>
    <cfRule type="cellIs" dxfId="5" priority="25" operator="equal">
      <formula>$C$19</formula>
    </cfRule>
  </conditionalFormatting>
  <conditionalFormatting sqref="C20:L20">
    <cfRule type="cellIs" dxfId="4" priority="29" operator="equal">
      <formula>1</formula>
    </cfRule>
  </conditionalFormatting>
  <conditionalFormatting sqref="C19:L19">
    <cfRule type="cellIs" dxfId="3" priority="31" operator="equal">
      <formula>1</formula>
    </cfRule>
  </conditionalFormatting>
  <conditionalFormatting sqref="C2:AZ2">
    <cfRule type="cellIs" dxfId="2" priority="35" operator="equal">
      <formula>1</formula>
    </cfRule>
  </conditionalFormatting>
  <conditionalFormatting sqref="O19:X19">
    <cfRule type="cellIs" dxfId="1" priority="38" operator="equal">
      <formula>1</formula>
    </cfRule>
  </conditionalFormatting>
  <conditionalFormatting sqref="AR21:AT32">
    <cfRule type="cellIs" dxfId="0" priority="41" operator="less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User</cp:lastModifiedBy>
  <dcterms:created xsi:type="dcterms:W3CDTF">2015-06-05T18:19:34Z</dcterms:created>
  <dcterms:modified xsi:type="dcterms:W3CDTF">2026-01-17T06:39:05Z</dcterms:modified>
</cp:coreProperties>
</file>